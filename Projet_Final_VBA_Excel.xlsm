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lay\OneDrive\Bureau\"/>
    </mc:Choice>
  </mc:AlternateContent>
  <bookViews>
    <workbookView xWindow="0" yWindow="0" windowWidth="20490" windowHeight="7755"/>
  </bookViews>
  <sheets>
    <sheet name="Interface" sheetId="6" r:id="rId1"/>
    <sheet name="Donnees_Salaire" sheetId="1" r:id="rId2"/>
    <sheet name="Livre_de_Paie" sheetId="2" r:id="rId3"/>
    <sheet name="Ecritures_Comptables" sheetId="3" r:id="rId4"/>
    <sheet name="Bulletin_de_Salaire" sheetId="4" r:id="rId5"/>
    <sheet name="Tableau de bord" sheetId="7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7" l="1"/>
  <c r="Z4" i="7"/>
  <c r="R4" i="7"/>
  <c r="R3" i="7"/>
  <c r="K5" i="7"/>
  <c r="K4" i="7"/>
  <c r="K3" i="7"/>
  <c r="D4" i="7"/>
  <c r="D3" i="7"/>
</calcChain>
</file>

<file path=xl/sharedStrings.xml><?xml version="1.0" encoding="utf-8"?>
<sst xmlns="http://schemas.openxmlformats.org/spreadsheetml/2006/main" count="746" uniqueCount="351">
  <si>
    <t>Matricule</t>
  </si>
  <si>
    <t>Prenom</t>
  </si>
  <si>
    <t>Nom</t>
  </si>
  <si>
    <t>Date Naiss</t>
  </si>
  <si>
    <t>Sexe</t>
  </si>
  <si>
    <t>Catégorie</t>
  </si>
  <si>
    <t>Etat_Civil</t>
  </si>
  <si>
    <t>Nb_Epouse</t>
  </si>
  <si>
    <t>Nb_Enfant</t>
  </si>
  <si>
    <t>Sursalaire</t>
  </si>
  <si>
    <t>H_Supp_15</t>
  </si>
  <si>
    <t>H_Supp_40</t>
  </si>
  <si>
    <t>H_Supp_60</t>
  </si>
  <si>
    <t>H_Supp_100</t>
  </si>
  <si>
    <t>Avantage</t>
  </si>
  <si>
    <t>IPM</t>
  </si>
  <si>
    <t>Avances_Ac</t>
  </si>
  <si>
    <t>Opposition</t>
  </si>
  <si>
    <t>Employé</t>
  </si>
  <si>
    <t>TRIMF</t>
  </si>
  <si>
    <t>Retenues</t>
  </si>
  <si>
    <t>Salaire Net</t>
  </si>
  <si>
    <t>Indemnités</t>
  </si>
  <si>
    <t>Oppositions</t>
  </si>
  <si>
    <t>Salaire Brut Fiscal</t>
  </si>
  <si>
    <t>Salaire Brut Social</t>
  </si>
  <si>
    <t>Regime Général</t>
  </si>
  <si>
    <t>Regime Cadre</t>
  </si>
  <si>
    <t>Avances et Acomptes</t>
  </si>
  <si>
    <t>SBF Arrondi</t>
  </si>
  <si>
    <t>Impot/Revenu</t>
  </si>
  <si>
    <t>Versement d'avance ou acompte en cours de mois</t>
  </si>
  <si>
    <t>5..</t>
  </si>
  <si>
    <t>Avance et Acompte</t>
  </si>
  <si>
    <t>Trésorerie</t>
  </si>
  <si>
    <t>Comptabilisation du livre de Paie</t>
  </si>
  <si>
    <t>661 ou 662</t>
  </si>
  <si>
    <t>Ecritures Comptables</t>
  </si>
  <si>
    <t>Rénumération directe versée</t>
  </si>
  <si>
    <t>Indemnités Forfaitaires</t>
  </si>
  <si>
    <t>Personnel, Rénumérations dues</t>
  </si>
  <si>
    <t>Retraite Obligatoire</t>
  </si>
  <si>
    <t>Retraite Facultative</t>
  </si>
  <si>
    <t>Mutuelle de Santé</t>
  </si>
  <si>
    <t>Etat, Impots retenus à la source</t>
  </si>
  <si>
    <t>Comptabilisation du règlement des salaires et oppositions</t>
  </si>
  <si>
    <t>Personnels, Rénumérations dues</t>
  </si>
  <si>
    <t>Débit</t>
  </si>
  <si>
    <t>Crèdit</t>
  </si>
  <si>
    <t>Salaire de Base</t>
  </si>
  <si>
    <t>Prénom et Nom</t>
  </si>
  <si>
    <t>Etat Matrimoniale</t>
  </si>
  <si>
    <t>Heures Sup à 15%</t>
  </si>
  <si>
    <t>Heures Sup à 40%</t>
  </si>
  <si>
    <t>Heures Sup à 60%</t>
  </si>
  <si>
    <t>Heures Sup à 100%</t>
  </si>
  <si>
    <t>Primes</t>
  </si>
  <si>
    <t>Avantages</t>
  </si>
  <si>
    <t>Régime Général</t>
  </si>
  <si>
    <t>Régime Cadre</t>
  </si>
  <si>
    <t>IR</t>
  </si>
  <si>
    <t>Acomptes Avances</t>
  </si>
  <si>
    <t>Total Retenues</t>
  </si>
  <si>
    <t>Net à Payer</t>
  </si>
  <si>
    <t>Date et lieu de Naissance</t>
  </si>
  <si>
    <t>Age</t>
  </si>
  <si>
    <t>Type de Regime</t>
  </si>
  <si>
    <t>Prime et Indemnités</t>
  </si>
  <si>
    <t>Lieu Naissance</t>
  </si>
  <si>
    <t>1231-BA/B</t>
  </si>
  <si>
    <t>Adama</t>
  </si>
  <si>
    <t>Ba</t>
  </si>
  <si>
    <t>Dakar</t>
  </si>
  <si>
    <t>M</t>
  </si>
  <si>
    <t>B</t>
  </si>
  <si>
    <t>Marié</t>
  </si>
  <si>
    <t>Adama Ba</t>
  </si>
  <si>
    <t>1232-BAMPASSY/B</t>
  </si>
  <si>
    <t>Alex</t>
  </si>
  <si>
    <t>Bampassy</t>
  </si>
  <si>
    <t>26/10/1975</t>
  </si>
  <si>
    <t>Tamba</t>
  </si>
  <si>
    <t>Celibataire</t>
  </si>
  <si>
    <t>Alex Bampassy</t>
  </si>
  <si>
    <t>1233-BEYE/B</t>
  </si>
  <si>
    <t>Ala</t>
  </si>
  <si>
    <t>Beye</t>
  </si>
  <si>
    <t>17/10/1982</t>
  </si>
  <si>
    <t>Goudiry</t>
  </si>
  <si>
    <t>Ala Beye</t>
  </si>
  <si>
    <t>1234-BOYE/C</t>
  </si>
  <si>
    <t>Medoune</t>
  </si>
  <si>
    <t>Boye</t>
  </si>
  <si>
    <t>22/02/1980</t>
  </si>
  <si>
    <t>Fatick</t>
  </si>
  <si>
    <t>C</t>
  </si>
  <si>
    <t>Medoune Boye</t>
  </si>
  <si>
    <t>1235-CISSE/C</t>
  </si>
  <si>
    <t>Lahat</t>
  </si>
  <si>
    <t>17/04/1983</t>
  </si>
  <si>
    <t>1236-DEME/C</t>
  </si>
  <si>
    <t>Fary</t>
  </si>
  <si>
    <t>Deme</t>
  </si>
  <si>
    <t>Ranerou</t>
  </si>
  <si>
    <t>Fary Deme</t>
  </si>
  <si>
    <t>4567-DIAGNE/A</t>
  </si>
  <si>
    <t>Diagne</t>
  </si>
  <si>
    <t>31/01/1982</t>
  </si>
  <si>
    <t>Pikine</t>
  </si>
  <si>
    <t>F</t>
  </si>
  <si>
    <t>A</t>
  </si>
  <si>
    <t>4568-DIALLO/A</t>
  </si>
  <si>
    <t>Yacine</t>
  </si>
  <si>
    <t>Diallo</t>
  </si>
  <si>
    <t>17/10/1975</t>
  </si>
  <si>
    <t>Yacine Diallo</t>
  </si>
  <si>
    <t>Celibataire , 0 epouse(s), 0 enfant(s)</t>
  </si>
  <si>
    <t>26/10/1975 , Tamba</t>
  </si>
  <si>
    <t>Cisse</t>
  </si>
  <si>
    <t>Guediawaye</t>
  </si>
  <si>
    <t>Lahat Cisse</t>
  </si>
  <si>
    <t>Mbombe</t>
  </si>
  <si>
    <t>Mbombe Diagne</t>
  </si>
  <si>
    <t>1239-DIALLO/A</t>
  </si>
  <si>
    <t>Aliou Ndiaye</t>
  </si>
  <si>
    <t>Aliou Ndiaye Diallo</t>
  </si>
  <si>
    <t>12310-DIAME/A</t>
  </si>
  <si>
    <t>Karim Abdel</t>
  </si>
  <si>
    <t>Diame</t>
  </si>
  <si>
    <t>Banjul</t>
  </si>
  <si>
    <t>Karim Abdel Diame</t>
  </si>
  <si>
    <t>45611-DIAO/B</t>
  </si>
  <si>
    <t>Aissatou Seck</t>
  </si>
  <si>
    <t>Diao</t>
  </si>
  <si>
    <t>26/08/1977</t>
  </si>
  <si>
    <t>Ziguinchor</t>
  </si>
  <si>
    <t>Aissatou Seck Diao</t>
  </si>
  <si>
    <t>12312-DIATTA/B</t>
  </si>
  <si>
    <t>Leon</t>
  </si>
  <si>
    <t>Diatta</t>
  </si>
  <si>
    <t>19/07/1979</t>
  </si>
  <si>
    <t>Leon Diatta</t>
  </si>
  <si>
    <t>45613-DIAW/B</t>
  </si>
  <si>
    <t>Awa</t>
  </si>
  <si>
    <t>Diaw</t>
  </si>
  <si>
    <t>30/09/1982</t>
  </si>
  <si>
    <t>Diourbel</t>
  </si>
  <si>
    <t>Awa Diaw</t>
  </si>
  <si>
    <t>12314-DIOP/C</t>
  </si>
  <si>
    <t>Habib</t>
  </si>
  <si>
    <t>Diop</t>
  </si>
  <si>
    <t>17/09/1985</t>
  </si>
  <si>
    <t>Bambey</t>
  </si>
  <si>
    <t>Habib Diop</t>
  </si>
  <si>
    <t>12315-DIOP/C</t>
  </si>
  <si>
    <t>Babacar</t>
  </si>
  <si>
    <t>19/03/1984</t>
  </si>
  <si>
    <t>Babacar Diop</t>
  </si>
  <si>
    <t>12316-DIOUF/C</t>
  </si>
  <si>
    <t>Modou</t>
  </si>
  <si>
    <t>Diouf</t>
  </si>
  <si>
    <t>14/04/1978</t>
  </si>
  <si>
    <t>Kaffrine</t>
  </si>
  <si>
    <t>Modou Diouf</t>
  </si>
  <si>
    <t>12317-DIOUF/C</t>
  </si>
  <si>
    <t>Henry</t>
  </si>
  <si>
    <t>27/01/1977</t>
  </si>
  <si>
    <t>Loumpoul</t>
  </si>
  <si>
    <t>Henry Diouf</t>
  </si>
  <si>
    <t>12319-DIOUM/A</t>
  </si>
  <si>
    <t>Assane</t>
  </si>
  <si>
    <t>Dioum</t>
  </si>
  <si>
    <t>16/05/1982</t>
  </si>
  <si>
    <t>Mbour</t>
  </si>
  <si>
    <t>Assane Dioum</t>
  </si>
  <si>
    <t>12319-FALL/C</t>
  </si>
  <si>
    <t>Segane</t>
  </si>
  <si>
    <t>Fall</t>
  </si>
  <si>
    <t>31/10/1984</t>
  </si>
  <si>
    <t>Joal</t>
  </si>
  <si>
    <t>Segane Fall</t>
  </si>
  <si>
    <t>12320-FALL/B</t>
  </si>
  <si>
    <t>Lamine</t>
  </si>
  <si>
    <t>28/11/1977</t>
  </si>
  <si>
    <t>Yoff</t>
  </si>
  <si>
    <t>Lamine Fall</t>
  </si>
  <si>
    <t>12321-FAYE/B</t>
  </si>
  <si>
    <t>Mouhamed</t>
  </si>
  <si>
    <t>Faye</t>
  </si>
  <si>
    <t>Rufisque</t>
  </si>
  <si>
    <t>Mouhamed Faye</t>
  </si>
  <si>
    <t>45622-FAYE/B</t>
  </si>
  <si>
    <t>Ndiaya</t>
  </si>
  <si>
    <t>Saint Louis</t>
  </si>
  <si>
    <t>Ndiaya Faye</t>
  </si>
  <si>
    <t>12323-GNING/C</t>
  </si>
  <si>
    <t>Dame</t>
  </si>
  <si>
    <t>Gning</t>
  </si>
  <si>
    <t>Touba</t>
  </si>
  <si>
    <t>Dame Gning</t>
  </si>
  <si>
    <t>12324-GUEYE/C</t>
  </si>
  <si>
    <t>BOUBA</t>
  </si>
  <si>
    <t>GUEYE</t>
  </si>
  <si>
    <t>27/10/1979</t>
  </si>
  <si>
    <t>Sedhiou</t>
  </si>
  <si>
    <t>BOUBA GUEYE</t>
  </si>
  <si>
    <t>45625-GUEYE/C</t>
  </si>
  <si>
    <t>Kine</t>
  </si>
  <si>
    <t>Gueye</t>
  </si>
  <si>
    <t>Aere Lao</t>
  </si>
  <si>
    <t>Kine Gueye</t>
  </si>
  <si>
    <t>12326-KANDJI/C</t>
  </si>
  <si>
    <t>Madiop</t>
  </si>
  <si>
    <t>Kandji</t>
  </si>
  <si>
    <t>27/07/1985</t>
  </si>
  <si>
    <t>Kedougou</t>
  </si>
  <si>
    <t>Madiop Kandji</t>
  </si>
  <si>
    <t>12327-KARE/A</t>
  </si>
  <si>
    <t>Kare</t>
  </si>
  <si>
    <t>18/11/1985</t>
  </si>
  <si>
    <t>Bakel</t>
  </si>
  <si>
    <t>Modou Kare</t>
  </si>
  <si>
    <t>12328-KEBE/B</t>
  </si>
  <si>
    <t>Thomas</t>
  </si>
  <si>
    <t>Kebe</t>
  </si>
  <si>
    <t>Louga</t>
  </si>
  <si>
    <t>Thomas Kebe</t>
  </si>
  <si>
    <t>45629-LAM/A</t>
  </si>
  <si>
    <t>Amy</t>
  </si>
  <si>
    <t>Lam</t>
  </si>
  <si>
    <t>Tivaouane</t>
  </si>
  <si>
    <t>Amy Lam</t>
  </si>
  <si>
    <t>12330-LO/A</t>
  </si>
  <si>
    <t>Moustapha Diop</t>
  </si>
  <si>
    <t>Lo</t>
  </si>
  <si>
    <t>21/12/1978</t>
  </si>
  <si>
    <t>Linguere</t>
  </si>
  <si>
    <t>Moustapha Diop Lo</t>
  </si>
  <si>
    <t>12331-LY/A</t>
  </si>
  <si>
    <t>Abdoulaye Masseck</t>
  </si>
  <si>
    <t>Ly</t>
  </si>
  <si>
    <t>Lambaye</t>
  </si>
  <si>
    <t>Abdoulaye Masseck Ly</t>
  </si>
  <si>
    <t>12332-MBAYE/B</t>
  </si>
  <si>
    <t>Abdou</t>
  </si>
  <si>
    <t>Mbaye</t>
  </si>
  <si>
    <t>Kolda</t>
  </si>
  <si>
    <t>Abdou Mbaye</t>
  </si>
  <si>
    <t>12333-MBENGUE/B</t>
  </si>
  <si>
    <t>Karim</t>
  </si>
  <si>
    <t>Mbengue</t>
  </si>
  <si>
    <t>Kaolack</t>
  </si>
  <si>
    <t>Karim Mbengue</t>
  </si>
  <si>
    <t>45634-NDIAYE/B</t>
  </si>
  <si>
    <t>Fatim</t>
  </si>
  <si>
    <t>Ndiaye</t>
  </si>
  <si>
    <t>Velinguara</t>
  </si>
  <si>
    <t>Fatim Ndiaye</t>
  </si>
  <si>
    <t>12335-NGOM/B</t>
  </si>
  <si>
    <t>Youssou</t>
  </si>
  <si>
    <t>Ngom</t>
  </si>
  <si>
    <t>16/08/1982</t>
  </si>
  <si>
    <t>Ouakam</t>
  </si>
  <si>
    <t>Youssou Ngom</t>
  </si>
  <si>
    <t>12336-PREIRA/B</t>
  </si>
  <si>
    <t>François</t>
  </si>
  <si>
    <t>Preira</t>
  </si>
  <si>
    <t>20/06/1977</t>
  </si>
  <si>
    <t>Paris</t>
  </si>
  <si>
    <t>François Preira</t>
  </si>
  <si>
    <t>12337-SAGNA/C</t>
  </si>
  <si>
    <t>Sagna</t>
  </si>
  <si>
    <t>Mbaye Sagna</t>
  </si>
  <si>
    <t>12338-SAGNA/A</t>
  </si>
  <si>
    <t>Frederic</t>
  </si>
  <si>
    <t>24/03/1976</t>
  </si>
  <si>
    <t>Oussouye</t>
  </si>
  <si>
    <t>Frederic Sagna</t>
  </si>
  <si>
    <t>45639-SAMB/C</t>
  </si>
  <si>
    <t>Alimatou</t>
  </si>
  <si>
    <t>Samb</t>
  </si>
  <si>
    <t>19/10/1976</t>
  </si>
  <si>
    <t>Alimatou Samb</t>
  </si>
  <si>
    <t>45640-SAMB/C</t>
  </si>
  <si>
    <t>Diarry</t>
  </si>
  <si>
    <t>16/05/1981</t>
  </si>
  <si>
    <t>Diarry Samb</t>
  </si>
  <si>
    <t>12341-SARR/A</t>
  </si>
  <si>
    <t>Omar</t>
  </si>
  <si>
    <t>Sarr</t>
  </si>
  <si>
    <t>29/08/1977</t>
  </si>
  <si>
    <t>Omar Sarr</t>
  </si>
  <si>
    <t>12342-SECK/C</t>
  </si>
  <si>
    <t>Maury</t>
  </si>
  <si>
    <t>Seck</t>
  </si>
  <si>
    <t>19/04/1977</t>
  </si>
  <si>
    <t>Thies</t>
  </si>
  <si>
    <t>Maury Seck</t>
  </si>
  <si>
    <t>12343-SENE/C</t>
  </si>
  <si>
    <t>Ibrahima</t>
  </si>
  <si>
    <t>Sene</t>
  </si>
  <si>
    <t>18/06/1979</t>
  </si>
  <si>
    <t>Mbacke</t>
  </si>
  <si>
    <t>Ibrahima Sene</t>
  </si>
  <si>
    <t>12344-SEYDI/B</t>
  </si>
  <si>
    <t>Moussa</t>
  </si>
  <si>
    <t>Seydi</t>
  </si>
  <si>
    <t>Moussa Seydi</t>
  </si>
  <si>
    <t>45645-SOW/B</t>
  </si>
  <si>
    <t>Khady</t>
  </si>
  <si>
    <t>Sow</t>
  </si>
  <si>
    <t>23/03/1984</t>
  </si>
  <si>
    <t>Cas cas</t>
  </si>
  <si>
    <t>Khady Sow</t>
  </si>
  <si>
    <t>12346-SY/B</t>
  </si>
  <si>
    <t>Alpha</t>
  </si>
  <si>
    <t>Sy</t>
  </si>
  <si>
    <t>29/11/1984</t>
  </si>
  <si>
    <t>Alpha Sy</t>
  </si>
  <si>
    <t>12347-TALL/B</t>
  </si>
  <si>
    <t>Moustapha</t>
  </si>
  <si>
    <t>Tall</t>
  </si>
  <si>
    <t>19/07/1976</t>
  </si>
  <si>
    <t>Saint-Louis</t>
  </si>
  <si>
    <t>Moustapha Tall</t>
  </si>
  <si>
    <t>45648-TALL/B</t>
  </si>
  <si>
    <t>Ndeye</t>
  </si>
  <si>
    <t>29/07/1985</t>
  </si>
  <si>
    <t>Ndeye Tall</t>
  </si>
  <si>
    <t>12349-TAVARESE/B</t>
  </si>
  <si>
    <t>Philipe Modou</t>
  </si>
  <si>
    <t>Tavarese</t>
  </si>
  <si>
    <t>23/04/1985</t>
  </si>
  <si>
    <t>Philipe Modou Tavarese</t>
  </si>
  <si>
    <t>12350-THIAM/B</t>
  </si>
  <si>
    <t>Khadim</t>
  </si>
  <si>
    <t>Thiam</t>
  </si>
  <si>
    <t>21/12/1981</t>
  </si>
  <si>
    <t>Khadim Thiam</t>
  </si>
  <si>
    <t>Répartition selon le sexe</t>
  </si>
  <si>
    <t>Masculin</t>
  </si>
  <si>
    <t>Féminin</t>
  </si>
  <si>
    <t>Répartition selon la catégorie professionnelle</t>
  </si>
  <si>
    <t>Catégorie A</t>
  </si>
  <si>
    <t>Catégorie B</t>
  </si>
  <si>
    <t>Catégorie C</t>
  </si>
  <si>
    <t>Répartition selon l'état civil</t>
  </si>
  <si>
    <t>Célibataire</t>
  </si>
  <si>
    <t>Répartition selon l'ipres</t>
  </si>
  <si>
    <t>Régime général</t>
  </si>
  <si>
    <t>Régime cadre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</si>
</sst>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b/>
      <sz val="12"/>
      <color theme="1"/>
      <name val="Cambria"/>
      <family val="1"/>
    </font>
  </fonts>
  <fills count="9">
    <fill>
      <patternFill patternType="none"/>
    </fill>
    <fill>
      <patternFill patternType="gray125"/>
    </fill>
    <fill>
      <patternFill patternType="gray125">
        <fgColor theme="9" tint="-0.24994659260841701"/>
        <bgColor theme="9" tint="0.59996337778862885"/>
      </patternFill>
    </fill>
    <fill>
      <patternFill patternType="gray0625">
        <fgColor rgb="FFFF0000"/>
        <bgColor rgb="FFED5560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/>
    <xf numFmtId="0" fontId="0" fillId="5" borderId="0" xfId="0" applyFill="1"/>
    <xf numFmtId="0" fontId="2" fillId="6" borderId="0" xfId="0" applyFont="1" applyFill="1"/>
    <xf numFmtId="0" fontId="0" fillId="6" borderId="0" xfId="0" applyFill="1"/>
    <xf numFmtId="0" fontId="2" fillId="7" borderId="0" xfId="0" applyFont="1" applyFill="1"/>
    <xf numFmtId="0" fontId="0" fillId="7" borderId="0" xfId="0" applyFill="1"/>
    <xf numFmtId="0" fontId="2" fillId="8" borderId="0" xfId="0" applyFont="1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55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'Tableau de bord'!$C$3:$C$4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'Tableau de bord'!$D$3:$D$4</c:f>
              <c:numCache>
                <c:formatCode>General</c:formatCode>
                <c:ptCount val="2"/>
                <c:pt idx="0">
                  <c:v>38</c:v>
                </c:pt>
                <c:pt idx="1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'Tableau de bord'!$J$3:$J$5</c:f>
              <c:strCache>
                <c:ptCount val="3"/>
                <c:pt idx="0">
                  <c:v>Catégorie A</c:v>
                </c:pt>
                <c:pt idx="1">
                  <c:v>Catégorie B</c:v>
                </c:pt>
                <c:pt idx="2">
                  <c:v>Catégorie C</c:v>
                </c:pt>
              </c:strCache>
            </c:strRef>
          </c:cat>
          <c:val>
            <c:numRef>
              <c:f>'Tableau de bord'!$K$3:$K$5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4635736"/>
        <c:axId val="364635344"/>
      </c:barChart>
      <c:catAx>
        <c:axId val="364635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64635344"/>
        <c:crosses val="autoZero"/>
        <c:auto val="1"/>
        <c:lblAlgn val="ctr"/>
        <c:lblOffset val="100"/>
        <c:noMultiLvlLbl val="0"/>
      </c:catAx>
      <c:valAx>
        <c:axId val="36463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4635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</c:spPr>
          </c:dPt>
          <c:cat>
            <c:strRef>
              <c:f>'Tableau de bord'!$Q$3:$Q$4</c:f>
              <c:strCache>
                <c:ptCount val="2"/>
                <c:pt idx="0">
                  <c:v>Marié</c:v>
                </c:pt>
                <c:pt idx="1">
                  <c:v>Célibataire</c:v>
                </c:pt>
              </c:strCache>
            </c:strRef>
          </c:cat>
          <c:val>
            <c:numRef>
              <c:f>'Tableau de bord'!$R$3:$R$4</c:f>
              <c:numCache>
                <c:formatCode>General</c:formatCode>
                <c:ptCount val="2"/>
                <c:pt idx="0">
                  <c:v>30</c:v>
                </c:pt>
                <c:pt idx="1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cat>
            <c:strRef>
              <c:f>'Tableau de bord'!$Y$4:$Y$5</c:f>
              <c:strCache>
                <c:ptCount val="2"/>
                <c:pt idx="0">
                  <c:v>Régime général</c:v>
                </c:pt>
                <c:pt idx="1">
                  <c:v>Régime cadre</c:v>
                </c:pt>
              </c:strCache>
            </c:strRef>
          </c:cat>
          <c:val>
            <c:numRef>
              <c:f>'Tableau de bord'!$Z$4:$Z$5</c:f>
              <c:numCache>
                <c:formatCode>General</c:formatCode>
                <c:ptCount val="2"/>
                <c:pt idx="0">
                  <c:v>29</c:v>
                </c:pt>
                <c:pt idx="1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64634560"/>
        <c:axId val="366085360"/>
        <c:axId val="0"/>
      </c:bar3DChart>
      <c:catAx>
        <c:axId val="364634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66085360"/>
        <c:crosses val="autoZero"/>
        <c:auto val="1"/>
        <c:lblAlgn val="ctr"/>
        <c:lblOffset val="100"/>
        <c:noMultiLvlLbl val="0"/>
      </c:catAx>
      <c:valAx>
        <c:axId val="36608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4634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Tableau de bord'!A1"/><Relationship Id="rId2" Type="http://schemas.openxmlformats.org/officeDocument/2006/relationships/hyperlink" Target="#Ecritures_Comptables!A1"/><Relationship Id="rId1" Type="http://schemas.openxmlformats.org/officeDocument/2006/relationships/hyperlink" Target="#Livre_de_Pai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657224</xdr:colOff>
      <xdr:row>0</xdr:row>
      <xdr:rowOff>123825</xdr:rowOff>
    </xdr:from>
    <xdr:to>
      <xdr:col>12</xdr:col>
      <xdr:colOff>581025</xdr:colOff>
      <xdr:row>5</xdr:row>
      <xdr:rowOff>85725</xdr:rowOff>
    </xdr:to>
    <xdr:sp macro="" textlink="">
      <xdr:nvSpPr>
        <xdr:cNvPr id="5" name="Rectangle à coins arrondis 4"/>
        <xdr:cNvSpPr/>
      </xdr:nvSpPr>
      <xdr:spPr>
        <a:xfrm>
          <a:off x="2943224" y="123825"/>
          <a:ext cx="6781801" cy="9144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4000" b="1" u="none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chemeClr val="bg2">
                  <a:lumMod val="10000"/>
                </a:schemeClr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lgerian" panose="04020705040A02060702" pitchFamily="82" charset="0"/>
            </a:rPr>
            <a:t>STAB GESTION COMPTA</a:t>
          </a:r>
        </a:p>
      </xdr:txBody>
    </xdr:sp>
    <xdr:clientData/>
  </xdr:twoCellAnchor>
  <xdr:twoCellAnchor>
    <xdr:from>
      <xdr:col>7</xdr:col>
      <xdr:colOff>533401</xdr:colOff>
      <xdr:row>5</xdr:row>
      <xdr:rowOff>180974</xdr:rowOff>
    </xdr:from>
    <xdr:to>
      <xdr:col>9</xdr:col>
      <xdr:colOff>723901</xdr:colOff>
      <xdr:row>10</xdr:row>
      <xdr:rowOff>57149</xdr:rowOff>
    </xdr:to>
    <xdr:sp macro="[0]!Ellipse20_Cliquer" textlink="">
      <xdr:nvSpPr>
        <xdr:cNvPr id="21" name="Ellipse 20"/>
        <xdr:cNvSpPr/>
      </xdr:nvSpPr>
      <xdr:spPr>
        <a:xfrm>
          <a:off x="5867401" y="1133474"/>
          <a:ext cx="1714500" cy="828675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lgerian" panose="04020705040A02060702" pitchFamily="82" charset="0"/>
            </a:rPr>
            <a:t>PANNEAU DE SAISIE</a:t>
          </a:r>
        </a:p>
      </xdr:txBody>
    </xdr:sp>
    <xdr:clientData/>
  </xdr:twoCellAnchor>
  <xdr:twoCellAnchor>
    <xdr:from>
      <xdr:col>8</xdr:col>
      <xdr:colOff>742950</xdr:colOff>
      <xdr:row>9</xdr:row>
      <xdr:rowOff>104775</xdr:rowOff>
    </xdr:from>
    <xdr:to>
      <xdr:col>11</xdr:col>
      <xdr:colOff>571500</xdr:colOff>
      <xdr:row>13</xdr:row>
      <xdr:rowOff>161925</xdr:rowOff>
    </xdr:to>
    <xdr:sp macro="" textlink="">
      <xdr:nvSpPr>
        <xdr:cNvPr id="25" name="Ellipse 24">
          <a:hlinkClick xmlns:r="http://schemas.openxmlformats.org/officeDocument/2006/relationships" r:id="rId1"/>
        </xdr:cNvPr>
        <xdr:cNvSpPr/>
      </xdr:nvSpPr>
      <xdr:spPr>
        <a:xfrm>
          <a:off x="6838950" y="1819275"/>
          <a:ext cx="2114550" cy="8191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lgerian" panose="04020705040A02060702" pitchFamily="82" charset="0"/>
            </a:rPr>
            <a:t>LIVRE</a:t>
          </a:r>
          <a:r>
            <a:rPr lang="fr-FR" sz="1400" b="1" baseline="0">
              <a:latin typeface="Algerian" panose="04020705040A02060702" pitchFamily="82" charset="0"/>
            </a:rPr>
            <a:t> DE PAIE</a:t>
          </a:r>
          <a:endParaRPr lang="fr-FR" sz="1400" b="1">
            <a:latin typeface="Algerian" panose="04020705040A02060702" pitchFamily="82" charset="0"/>
          </a:endParaRPr>
        </a:p>
      </xdr:txBody>
    </xdr:sp>
    <xdr:clientData/>
  </xdr:twoCellAnchor>
  <xdr:twoCellAnchor>
    <xdr:from>
      <xdr:col>10</xdr:col>
      <xdr:colOff>466725</xdr:colOff>
      <xdr:row>13</xdr:row>
      <xdr:rowOff>28575</xdr:rowOff>
    </xdr:from>
    <xdr:to>
      <xdr:col>13</xdr:col>
      <xdr:colOff>314325</xdr:colOff>
      <xdr:row>17</xdr:row>
      <xdr:rowOff>152400</xdr:rowOff>
    </xdr:to>
    <xdr:sp macro="" textlink="">
      <xdr:nvSpPr>
        <xdr:cNvPr id="27" name="Ellipse 26">
          <a:hlinkClick xmlns:r="http://schemas.openxmlformats.org/officeDocument/2006/relationships" r:id="rId2"/>
        </xdr:cNvPr>
        <xdr:cNvSpPr/>
      </xdr:nvSpPr>
      <xdr:spPr>
        <a:xfrm>
          <a:off x="8086725" y="2505075"/>
          <a:ext cx="2133600" cy="885825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lgerian" panose="04020705040A02060702" pitchFamily="82" charset="0"/>
            </a:rPr>
            <a:t>Ecritures comptables</a:t>
          </a:r>
        </a:p>
      </xdr:txBody>
    </xdr:sp>
    <xdr:clientData/>
  </xdr:twoCellAnchor>
  <xdr:twoCellAnchor>
    <xdr:from>
      <xdr:col>13</xdr:col>
      <xdr:colOff>38101</xdr:colOff>
      <xdr:row>21</xdr:row>
      <xdr:rowOff>133349</xdr:rowOff>
    </xdr:from>
    <xdr:to>
      <xdr:col>16</xdr:col>
      <xdr:colOff>600075</xdr:colOff>
      <xdr:row>27</xdr:row>
      <xdr:rowOff>47625</xdr:rowOff>
    </xdr:to>
    <xdr:sp macro="[0]!Ellipse29_Cliquer" textlink="">
      <xdr:nvSpPr>
        <xdr:cNvPr id="30" name="Ellipse 29"/>
        <xdr:cNvSpPr/>
      </xdr:nvSpPr>
      <xdr:spPr>
        <a:xfrm>
          <a:off x="9944101" y="4133849"/>
          <a:ext cx="2847974" cy="1057276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lgerian" panose="04020705040A02060702" pitchFamily="82" charset="0"/>
            </a:rPr>
            <a:t>EDITEUR</a:t>
          </a:r>
          <a:r>
            <a:rPr lang="fr-FR" sz="1400" b="1" baseline="0">
              <a:latin typeface="Algerian" panose="04020705040A02060702" pitchFamily="82" charset="0"/>
            </a:rPr>
            <a:t> DE BULLETIN DE SALAIRE</a:t>
          </a:r>
          <a:endParaRPr lang="fr-FR" sz="1400" b="1">
            <a:latin typeface="Algerian" panose="04020705040A02060702" pitchFamily="82" charset="0"/>
          </a:endParaRPr>
        </a:p>
      </xdr:txBody>
    </xdr:sp>
    <xdr:clientData/>
  </xdr:twoCellAnchor>
  <xdr:twoCellAnchor>
    <xdr:from>
      <xdr:col>15</xdr:col>
      <xdr:colOff>66675</xdr:colOff>
      <xdr:row>27</xdr:row>
      <xdr:rowOff>152400</xdr:rowOff>
    </xdr:from>
    <xdr:to>
      <xdr:col>16</xdr:col>
      <xdr:colOff>209550</xdr:colOff>
      <xdr:row>30</xdr:row>
      <xdr:rowOff>95250</xdr:rowOff>
    </xdr:to>
    <xdr:sp macro="[0]!Rectangleàcoinsarrondis30_Cliquer" textlink="">
      <xdr:nvSpPr>
        <xdr:cNvPr id="31" name="Rectangle à coins arrondis 30"/>
        <xdr:cNvSpPr/>
      </xdr:nvSpPr>
      <xdr:spPr>
        <a:xfrm>
          <a:off x="11496675" y="5295900"/>
          <a:ext cx="904875" cy="51435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latin typeface="Arial Black" panose="020B0A04020102020204" pitchFamily="34" charset="0"/>
            </a:rPr>
            <a:t>FERMER</a:t>
          </a:r>
        </a:p>
      </xdr:txBody>
    </xdr:sp>
    <xdr:clientData/>
  </xdr:twoCellAnchor>
  <xdr:twoCellAnchor>
    <xdr:from>
      <xdr:col>12</xdr:col>
      <xdr:colOff>95250</xdr:colOff>
      <xdr:row>17</xdr:row>
      <xdr:rowOff>19050</xdr:rowOff>
    </xdr:from>
    <xdr:to>
      <xdr:col>15</xdr:col>
      <xdr:colOff>76200</xdr:colOff>
      <xdr:row>21</xdr:row>
      <xdr:rowOff>171450</xdr:rowOff>
    </xdr:to>
    <xdr:sp macro="" textlink="">
      <xdr:nvSpPr>
        <xdr:cNvPr id="2" name="Ellipse 1">
          <a:hlinkClick xmlns:r="http://schemas.openxmlformats.org/officeDocument/2006/relationships" r:id="rId3"/>
        </xdr:cNvPr>
        <xdr:cNvSpPr/>
      </xdr:nvSpPr>
      <xdr:spPr>
        <a:xfrm>
          <a:off x="9239250" y="3257550"/>
          <a:ext cx="2266950" cy="9144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lgerian" panose="04020705040A02060702" pitchFamily="82" charset="0"/>
            </a:rPr>
            <a:t>TABLEAU DE BORD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6</xdr:row>
      <xdr:rowOff>66675</xdr:rowOff>
    </xdr:from>
    <xdr:to>
      <xdr:col>5</xdr:col>
      <xdr:colOff>238125</xdr:colOff>
      <xdr:row>18</xdr:row>
      <xdr:rowOff>28575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209550</xdr:colOff>
      <xdr:row>8</xdr:row>
      <xdr:rowOff>28575</xdr:rowOff>
    </xdr:from>
    <xdr:to>
      <xdr:col>12</xdr:col>
      <xdr:colOff>609600</xdr:colOff>
      <xdr:row>21</xdr:row>
      <xdr:rowOff>0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342900</xdr:colOff>
      <xdr:row>8</xdr:row>
      <xdr:rowOff>85725</xdr:rowOff>
    </xdr:from>
    <xdr:to>
      <xdr:col>20</xdr:col>
      <xdr:colOff>409575</xdr:colOff>
      <xdr:row>21</xdr:row>
      <xdr:rowOff>152400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314325</xdr:colOff>
      <xdr:row>8</xdr:row>
      <xdr:rowOff>9525</xdr:rowOff>
    </xdr:from>
    <xdr:to>
      <xdr:col>28</xdr:col>
      <xdr:colOff>590550</xdr:colOff>
      <xdr:row>20</xdr:row>
      <xdr:rowOff>28575</xdr:rowOff>
    </xdr:to>
    <xdr:graphicFrame macro="">
      <xdr:nvGraphicFramePr>
        <xdr:cNvPr id="12" name="Graphique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"/>
  <sheetViews>
    <sheetView showGridLines="0" showRowColHeaders="0" tabSelected="1" workbookViewId="0">
      <selection activeCell="O3" sqref="O3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51"/>
  <sheetViews>
    <sheetView topLeftCell="B1" workbookViewId="0">
      <selection activeCell="L22" sqref="L22"/>
    </sheetView>
  </sheetViews>
  <sheetFormatPr baseColWidth="10" defaultRowHeight="15" x14ac:dyDescent="0.25"/>
  <cols>
    <col min="1" max="1" width="17.42578125" style="1" bestFit="1" customWidth="1"/>
    <col min="2" max="4" width="11.42578125" style="1"/>
    <col min="5" max="5" width="15.28515625" style="1" customWidth="1"/>
    <col min="6" max="6" width="6.85546875" style="1" customWidth="1"/>
    <col min="7" max="7" width="9.85546875" style="1" customWidth="1"/>
    <col min="8" max="10" width="11.42578125" style="1"/>
    <col min="11" max="11" width="11.42578125" style="2"/>
    <col min="12" max="15" width="11.42578125" style="1"/>
    <col min="16" max="16" width="19.28515625" style="1" bestFit="1" customWidth="1"/>
    <col min="17" max="17" width="11.42578125" style="1"/>
    <col min="18" max="18" width="22" style="1" bestFit="1" customWidth="1"/>
    <col min="19" max="19" width="6.85546875" style="1" customWidth="1"/>
    <col min="20" max="21" width="11.42578125" style="1"/>
  </cols>
  <sheetData>
    <row r="1" spans="1:21" ht="15.75" x14ac:dyDescent="0.25">
      <c r="A1" s="20" t="s">
        <v>0</v>
      </c>
      <c r="B1" s="20" t="s">
        <v>1</v>
      </c>
      <c r="C1" s="20" t="s">
        <v>2</v>
      </c>
      <c r="D1" s="20" t="s">
        <v>3</v>
      </c>
      <c r="E1" s="20" t="s">
        <v>68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1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67</v>
      </c>
      <c r="Q1" s="20" t="s">
        <v>14</v>
      </c>
      <c r="R1" s="20" t="s">
        <v>39</v>
      </c>
      <c r="S1" s="20" t="s">
        <v>15</v>
      </c>
      <c r="T1" s="20" t="s">
        <v>16</v>
      </c>
      <c r="U1" s="20" t="s">
        <v>17</v>
      </c>
    </row>
    <row r="2" spans="1:21" x14ac:dyDescent="0.25">
      <c r="A2" s="17" t="s">
        <v>69</v>
      </c>
      <c r="B2" s="17" t="s">
        <v>70</v>
      </c>
      <c r="C2" s="17" t="s">
        <v>71</v>
      </c>
      <c r="D2" s="19">
        <v>30568</v>
      </c>
      <c r="E2" s="17" t="s">
        <v>72</v>
      </c>
      <c r="F2" s="17" t="s">
        <v>73</v>
      </c>
      <c r="G2" s="17" t="s">
        <v>74</v>
      </c>
      <c r="H2" s="17" t="s">
        <v>75</v>
      </c>
      <c r="I2" s="17">
        <v>1</v>
      </c>
      <c r="J2" s="17">
        <v>3</v>
      </c>
      <c r="K2" s="18"/>
      <c r="L2" s="17"/>
      <c r="M2" s="17"/>
      <c r="N2" s="17"/>
      <c r="O2" s="17">
        <v>4</v>
      </c>
      <c r="P2" s="17"/>
      <c r="Q2" s="17"/>
      <c r="R2" s="17">
        <v>17500</v>
      </c>
      <c r="S2" s="17">
        <v>4500</v>
      </c>
      <c r="T2" s="17">
        <v>25000</v>
      </c>
      <c r="U2" s="17"/>
    </row>
    <row r="3" spans="1:21" x14ac:dyDescent="0.25">
      <c r="A3" s="17" t="s">
        <v>77</v>
      </c>
      <c r="B3" s="17" t="s">
        <v>78</v>
      </c>
      <c r="C3" s="17" t="s">
        <v>79</v>
      </c>
      <c r="D3" s="19" t="s">
        <v>80</v>
      </c>
      <c r="E3" s="17" t="s">
        <v>81</v>
      </c>
      <c r="F3" s="17" t="s">
        <v>73</v>
      </c>
      <c r="G3" s="17" t="s">
        <v>74</v>
      </c>
      <c r="H3" s="17" t="s">
        <v>82</v>
      </c>
      <c r="I3" s="17">
        <v>0</v>
      </c>
      <c r="J3" s="17">
        <v>0</v>
      </c>
      <c r="K3" s="18"/>
      <c r="L3" s="17">
        <v>8</v>
      </c>
      <c r="M3" s="17">
        <v>4</v>
      </c>
      <c r="N3" s="17"/>
      <c r="O3" s="17">
        <v>3</v>
      </c>
      <c r="P3" s="17">
        <v>15000</v>
      </c>
      <c r="Q3" s="17"/>
      <c r="R3" s="17">
        <v>12500</v>
      </c>
      <c r="S3" s="17"/>
      <c r="T3" s="17"/>
      <c r="U3" s="17"/>
    </row>
    <row r="4" spans="1:21" x14ac:dyDescent="0.25">
      <c r="A4" s="17" t="s">
        <v>84</v>
      </c>
      <c r="B4" s="17" t="s">
        <v>85</v>
      </c>
      <c r="C4" s="17" t="s">
        <v>86</v>
      </c>
      <c r="D4" s="19" t="s">
        <v>87</v>
      </c>
      <c r="E4" s="17" t="s">
        <v>88</v>
      </c>
      <c r="F4" s="17" t="s">
        <v>73</v>
      </c>
      <c r="G4" s="17" t="s">
        <v>74</v>
      </c>
      <c r="H4" s="17" t="s">
        <v>75</v>
      </c>
      <c r="I4" s="17">
        <v>2</v>
      </c>
      <c r="J4" s="17">
        <v>6</v>
      </c>
      <c r="K4" s="18"/>
      <c r="L4" s="17"/>
      <c r="M4" s="17"/>
      <c r="N4" s="17">
        <v>6</v>
      </c>
      <c r="O4" s="17">
        <v>2</v>
      </c>
      <c r="P4" s="17"/>
      <c r="Q4" s="17"/>
      <c r="R4" s="17">
        <v>20000</v>
      </c>
      <c r="S4" s="17">
        <v>5000</v>
      </c>
      <c r="T4" s="17"/>
      <c r="U4" s="17"/>
    </row>
    <row r="5" spans="1:21" x14ac:dyDescent="0.25">
      <c r="A5" s="17" t="s">
        <v>90</v>
      </c>
      <c r="B5" s="17" t="s">
        <v>91</v>
      </c>
      <c r="C5" s="17" t="s">
        <v>92</v>
      </c>
      <c r="D5" s="19" t="s">
        <v>93</v>
      </c>
      <c r="E5" s="17" t="s">
        <v>94</v>
      </c>
      <c r="F5" s="17" t="s">
        <v>73</v>
      </c>
      <c r="G5" s="17" t="s">
        <v>95</v>
      </c>
      <c r="H5" s="17" t="s">
        <v>75</v>
      </c>
      <c r="I5" s="17">
        <v>1</v>
      </c>
      <c r="J5" s="17">
        <v>1</v>
      </c>
      <c r="K5" s="18"/>
      <c r="L5" s="17">
        <v>8</v>
      </c>
      <c r="M5" s="17">
        <v>4</v>
      </c>
      <c r="N5" s="17"/>
      <c r="O5" s="17"/>
      <c r="P5" s="17">
        <v>10000</v>
      </c>
      <c r="Q5" s="17"/>
      <c r="R5" s="17"/>
      <c r="S5" s="17"/>
      <c r="T5" s="17"/>
      <c r="U5" s="17"/>
    </row>
    <row r="6" spans="1:21" x14ac:dyDescent="0.25">
      <c r="A6" s="17" t="s">
        <v>97</v>
      </c>
      <c r="B6" s="17" t="s">
        <v>98</v>
      </c>
      <c r="C6" s="17" t="s">
        <v>118</v>
      </c>
      <c r="D6" s="19" t="s">
        <v>99</v>
      </c>
      <c r="E6" s="17" t="s">
        <v>119</v>
      </c>
      <c r="F6" s="17" t="s">
        <v>73</v>
      </c>
      <c r="G6" s="17" t="s">
        <v>95</v>
      </c>
      <c r="H6" s="17" t="s">
        <v>82</v>
      </c>
      <c r="I6" s="17">
        <v>0</v>
      </c>
      <c r="J6" s="17">
        <v>1</v>
      </c>
      <c r="K6" s="18">
        <v>15000</v>
      </c>
      <c r="L6" s="17">
        <v>8</v>
      </c>
      <c r="M6" s="17">
        <v>4</v>
      </c>
      <c r="N6" s="17">
        <v>4</v>
      </c>
      <c r="O6" s="17">
        <v>2</v>
      </c>
      <c r="P6" s="17"/>
      <c r="Q6" s="17">
        <v>35000</v>
      </c>
      <c r="R6" s="17"/>
      <c r="S6" s="17">
        <v>3500</v>
      </c>
      <c r="T6" s="17">
        <v>30000</v>
      </c>
      <c r="U6" s="17">
        <v>20000</v>
      </c>
    </row>
    <row r="7" spans="1:21" x14ac:dyDescent="0.25">
      <c r="A7" s="17" t="s">
        <v>100</v>
      </c>
      <c r="B7" s="17" t="s">
        <v>101</v>
      </c>
      <c r="C7" s="17" t="s">
        <v>102</v>
      </c>
      <c r="D7" s="19">
        <v>29138</v>
      </c>
      <c r="E7" s="17" t="s">
        <v>103</v>
      </c>
      <c r="F7" s="17" t="s">
        <v>73</v>
      </c>
      <c r="G7" s="17" t="s">
        <v>95</v>
      </c>
      <c r="H7" s="17" t="s">
        <v>82</v>
      </c>
      <c r="I7" s="17">
        <v>0</v>
      </c>
      <c r="J7" s="17">
        <v>0</v>
      </c>
      <c r="K7" s="18"/>
      <c r="L7" s="17"/>
      <c r="M7" s="17"/>
      <c r="N7" s="17"/>
      <c r="O7" s="17"/>
      <c r="P7" s="17"/>
      <c r="Q7" s="17"/>
      <c r="R7" s="17"/>
      <c r="S7" s="17">
        <v>2500</v>
      </c>
      <c r="T7" s="17"/>
      <c r="U7" s="17"/>
    </row>
    <row r="8" spans="1:21" x14ac:dyDescent="0.25">
      <c r="A8" s="17" t="s">
        <v>105</v>
      </c>
      <c r="B8" s="17" t="s">
        <v>121</v>
      </c>
      <c r="C8" s="17" t="s">
        <v>106</v>
      </c>
      <c r="D8" s="19" t="s">
        <v>107</v>
      </c>
      <c r="E8" s="17" t="s">
        <v>108</v>
      </c>
      <c r="F8" s="17" t="s">
        <v>109</v>
      </c>
      <c r="G8" s="17" t="s">
        <v>110</v>
      </c>
      <c r="H8" s="17" t="s">
        <v>75</v>
      </c>
      <c r="I8" s="17">
        <v>0</v>
      </c>
      <c r="J8" s="17">
        <v>4</v>
      </c>
      <c r="K8" s="18"/>
      <c r="L8" s="17"/>
      <c r="M8" s="17"/>
      <c r="N8" s="17"/>
      <c r="O8" s="17"/>
      <c r="P8" s="17">
        <v>10000</v>
      </c>
      <c r="Q8" s="17">
        <v>60000</v>
      </c>
      <c r="R8" s="17"/>
      <c r="S8" s="17"/>
      <c r="T8" s="17"/>
      <c r="U8" s="17"/>
    </row>
    <row r="9" spans="1:21" x14ac:dyDescent="0.25">
      <c r="A9" s="17" t="s">
        <v>111</v>
      </c>
      <c r="B9" s="17" t="s">
        <v>112</v>
      </c>
      <c r="C9" s="17" t="s">
        <v>113</v>
      </c>
      <c r="D9" s="19" t="s">
        <v>114</v>
      </c>
      <c r="E9" s="17" t="s">
        <v>72</v>
      </c>
      <c r="F9" s="17" t="s">
        <v>109</v>
      </c>
      <c r="G9" s="17" t="s">
        <v>110</v>
      </c>
      <c r="H9" s="17" t="s">
        <v>82</v>
      </c>
      <c r="I9" s="17">
        <v>0</v>
      </c>
      <c r="J9" s="17">
        <v>0</v>
      </c>
      <c r="K9" s="18"/>
      <c r="L9" s="17"/>
      <c r="M9" s="17"/>
      <c r="N9" s="17"/>
      <c r="O9" s="17"/>
      <c r="P9" s="17"/>
      <c r="Q9" s="17"/>
      <c r="R9" s="17"/>
      <c r="S9" s="17">
        <v>3000</v>
      </c>
      <c r="T9" s="17"/>
      <c r="U9" s="17"/>
    </row>
    <row r="10" spans="1:21" x14ac:dyDescent="0.25">
      <c r="A10" s="17" t="s">
        <v>123</v>
      </c>
      <c r="B10" s="17" t="s">
        <v>124</v>
      </c>
      <c r="C10" s="17" t="s">
        <v>113</v>
      </c>
      <c r="D10" s="19">
        <v>29260</v>
      </c>
      <c r="E10" s="17" t="s">
        <v>108</v>
      </c>
      <c r="F10" s="17" t="s">
        <v>73</v>
      </c>
      <c r="G10" s="17" t="s">
        <v>110</v>
      </c>
      <c r="H10" s="17" t="s">
        <v>75</v>
      </c>
      <c r="I10" s="17">
        <v>3</v>
      </c>
      <c r="J10" s="17">
        <v>8</v>
      </c>
      <c r="K10" s="18"/>
      <c r="L10" s="17"/>
      <c r="M10" s="17"/>
      <c r="N10" s="17"/>
      <c r="O10" s="17"/>
      <c r="P10" s="17"/>
      <c r="Q10" s="17">
        <v>37500</v>
      </c>
      <c r="R10" s="17"/>
      <c r="S10" s="17">
        <v>3000</v>
      </c>
      <c r="T10" s="17">
        <v>55000</v>
      </c>
      <c r="U10" s="17"/>
    </row>
    <row r="11" spans="1:21" x14ac:dyDescent="0.25">
      <c r="A11" s="17" t="s">
        <v>126</v>
      </c>
      <c r="B11" s="17" t="s">
        <v>127</v>
      </c>
      <c r="C11" s="17" t="s">
        <v>128</v>
      </c>
      <c r="D11" s="19">
        <v>27977</v>
      </c>
      <c r="E11" s="17" t="s">
        <v>129</v>
      </c>
      <c r="F11" s="17" t="s">
        <v>73</v>
      </c>
      <c r="G11" s="17" t="s">
        <v>110</v>
      </c>
      <c r="H11" s="17" t="s">
        <v>82</v>
      </c>
      <c r="I11" s="17">
        <v>0</v>
      </c>
      <c r="J11" s="17">
        <v>0</v>
      </c>
      <c r="K11" s="18"/>
      <c r="L11" s="17"/>
      <c r="M11" s="17"/>
      <c r="N11" s="17"/>
      <c r="O11" s="17"/>
      <c r="P11" s="17"/>
      <c r="Q11" s="17">
        <v>50000</v>
      </c>
      <c r="R11" s="17"/>
      <c r="S11" s="17"/>
      <c r="T11" s="17"/>
      <c r="U11" s="17"/>
    </row>
    <row r="12" spans="1:21" x14ac:dyDescent="0.25">
      <c r="A12" s="17" t="s">
        <v>131</v>
      </c>
      <c r="B12" s="17" t="s">
        <v>132</v>
      </c>
      <c r="C12" s="17" t="s">
        <v>133</v>
      </c>
      <c r="D12" s="19" t="s">
        <v>134</v>
      </c>
      <c r="E12" s="17" t="s">
        <v>135</v>
      </c>
      <c r="F12" s="17" t="s">
        <v>109</v>
      </c>
      <c r="G12" s="17" t="s">
        <v>74</v>
      </c>
      <c r="H12" s="17" t="s">
        <v>82</v>
      </c>
      <c r="I12" s="17">
        <v>0</v>
      </c>
      <c r="J12" s="17">
        <v>0</v>
      </c>
      <c r="K12" s="18"/>
      <c r="L12" s="17">
        <v>8</v>
      </c>
      <c r="M12" s="17"/>
      <c r="N12" s="17">
        <v>3</v>
      </c>
      <c r="O12" s="17">
        <v>2</v>
      </c>
      <c r="P12" s="17"/>
      <c r="Q12" s="17"/>
      <c r="R12" s="17">
        <v>25000</v>
      </c>
      <c r="S12" s="17">
        <v>3000</v>
      </c>
      <c r="T12" s="17"/>
      <c r="U12" s="17"/>
    </row>
    <row r="13" spans="1:21" x14ac:dyDescent="0.25">
      <c r="A13" s="17" t="s">
        <v>137</v>
      </c>
      <c r="B13" s="17" t="s">
        <v>138</v>
      </c>
      <c r="C13" s="17" t="s">
        <v>139</v>
      </c>
      <c r="D13" s="19" t="s">
        <v>140</v>
      </c>
      <c r="E13" s="17" t="s">
        <v>135</v>
      </c>
      <c r="F13" s="17" t="s">
        <v>73</v>
      </c>
      <c r="G13" s="17" t="s">
        <v>74</v>
      </c>
      <c r="H13" s="17" t="s">
        <v>82</v>
      </c>
      <c r="I13" s="17">
        <v>0</v>
      </c>
      <c r="J13" s="17">
        <v>0</v>
      </c>
      <c r="K13" s="18"/>
      <c r="L13" s="17"/>
      <c r="M13" s="17"/>
      <c r="N13" s="17">
        <v>2</v>
      </c>
      <c r="O13" s="17"/>
      <c r="P13" s="17"/>
      <c r="Q13" s="17"/>
      <c r="R13" s="17"/>
      <c r="S13" s="17"/>
      <c r="T13" s="17">
        <v>17500</v>
      </c>
      <c r="U13" s="17"/>
    </row>
    <row r="14" spans="1:21" x14ac:dyDescent="0.25">
      <c r="A14" s="17" t="s">
        <v>142</v>
      </c>
      <c r="B14" s="17" t="s">
        <v>143</v>
      </c>
      <c r="C14" s="17" t="s">
        <v>144</v>
      </c>
      <c r="D14" s="19" t="s">
        <v>145</v>
      </c>
      <c r="E14" s="17" t="s">
        <v>146</v>
      </c>
      <c r="F14" s="17" t="s">
        <v>109</v>
      </c>
      <c r="G14" s="17" t="s">
        <v>74</v>
      </c>
      <c r="H14" s="17" t="s">
        <v>82</v>
      </c>
      <c r="I14" s="17">
        <v>0</v>
      </c>
      <c r="J14" s="17">
        <v>1</v>
      </c>
      <c r="K14" s="18"/>
      <c r="L14" s="17">
        <v>8</v>
      </c>
      <c r="M14" s="17">
        <v>5</v>
      </c>
      <c r="N14" s="17">
        <v>3</v>
      </c>
      <c r="O14" s="17">
        <v>3</v>
      </c>
      <c r="P14" s="17"/>
      <c r="Q14" s="17"/>
      <c r="R14" s="17">
        <v>17000</v>
      </c>
      <c r="S14" s="17">
        <v>3000</v>
      </c>
      <c r="T14" s="17"/>
      <c r="U14" s="17">
        <v>15000</v>
      </c>
    </row>
    <row r="15" spans="1:21" x14ac:dyDescent="0.25">
      <c r="A15" s="17" t="s">
        <v>148</v>
      </c>
      <c r="B15" s="17" t="s">
        <v>149</v>
      </c>
      <c r="C15" s="17" t="s">
        <v>150</v>
      </c>
      <c r="D15" s="19" t="s">
        <v>151</v>
      </c>
      <c r="E15" s="17" t="s">
        <v>152</v>
      </c>
      <c r="F15" s="17" t="s">
        <v>73</v>
      </c>
      <c r="G15" s="17" t="s">
        <v>95</v>
      </c>
      <c r="H15" s="17" t="s">
        <v>82</v>
      </c>
      <c r="I15" s="17">
        <v>0</v>
      </c>
      <c r="J15" s="17">
        <v>0</v>
      </c>
      <c r="K15" s="18"/>
      <c r="L15" s="17"/>
      <c r="M15" s="17"/>
      <c r="N15" s="17"/>
      <c r="O15" s="17"/>
      <c r="P15" s="17"/>
      <c r="Q15" s="17"/>
      <c r="R15" s="17"/>
      <c r="S15" s="17">
        <v>2500</v>
      </c>
      <c r="T15" s="17"/>
      <c r="U15" s="17"/>
    </row>
    <row r="16" spans="1:21" x14ac:dyDescent="0.25">
      <c r="A16" s="17" t="s">
        <v>154</v>
      </c>
      <c r="B16" s="17" t="s">
        <v>155</v>
      </c>
      <c r="C16" s="17" t="s">
        <v>150</v>
      </c>
      <c r="D16" s="17" t="s">
        <v>156</v>
      </c>
      <c r="E16" s="17" t="s">
        <v>152</v>
      </c>
      <c r="F16" s="17" t="s">
        <v>73</v>
      </c>
      <c r="G16" s="17" t="s">
        <v>95</v>
      </c>
      <c r="H16" s="17" t="s">
        <v>82</v>
      </c>
      <c r="I16" s="17">
        <v>0</v>
      </c>
      <c r="J16" s="17">
        <v>0</v>
      </c>
      <c r="K16" s="18"/>
      <c r="L16" s="17"/>
      <c r="M16" s="17">
        <v>5</v>
      </c>
      <c r="N16" s="17">
        <v>5</v>
      </c>
      <c r="O16" s="17"/>
      <c r="P16" s="17"/>
      <c r="Q16" s="17"/>
      <c r="R16" s="17"/>
      <c r="S16" s="17"/>
      <c r="T16" s="17"/>
      <c r="U16" s="17"/>
    </row>
    <row r="17" spans="1:21" x14ac:dyDescent="0.25">
      <c r="A17" s="17" t="s">
        <v>158</v>
      </c>
      <c r="B17" s="17" t="s">
        <v>159</v>
      </c>
      <c r="C17" s="17" t="s">
        <v>160</v>
      </c>
      <c r="D17" s="17" t="s">
        <v>161</v>
      </c>
      <c r="E17" s="17" t="s">
        <v>162</v>
      </c>
      <c r="F17" s="17" t="s">
        <v>73</v>
      </c>
      <c r="G17" s="17" t="s">
        <v>95</v>
      </c>
      <c r="H17" s="17" t="s">
        <v>75</v>
      </c>
      <c r="I17" s="17">
        <v>1</v>
      </c>
      <c r="J17" s="17">
        <v>4</v>
      </c>
      <c r="K17" s="18"/>
      <c r="L17" s="17">
        <v>8</v>
      </c>
      <c r="M17" s="17"/>
      <c r="N17" s="17"/>
      <c r="O17" s="17">
        <v>6</v>
      </c>
      <c r="P17" s="17">
        <v>10000</v>
      </c>
      <c r="Q17" s="17"/>
      <c r="R17" s="17"/>
      <c r="S17" s="17"/>
      <c r="T17" s="17"/>
      <c r="U17" s="17"/>
    </row>
    <row r="18" spans="1:21" x14ac:dyDescent="0.25">
      <c r="A18" s="17" t="s">
        <v>164</v>
      </c>
      <c r="B18" s="17" t="s">
        <v>165</v>
      </c>
      <c r="C18" s="17" t="s">
        <v>160</v>
      </c>
      <c r="D18" s="19" t="s">
        <v>166</v>
      </c>
      <c r="E18" s="17" t="s">
        <v>167</v>
      </c>
      <c r="F18" s="17" t="s">
        <v>73</v>
      </c>
      <c r="G18" s="17" t="s">
        <v>95</v>
      </c>
      <c r="H18" s="17" t="s">
        <v>75</v>
      </c>
      <c r="I18" s="17">
        <v>1</v>
      </c>
      <c r="J18" s="17">
        <v>3</v>
      </c>
      <c r="K18" s="18"/>
      <c r="L18" s="17"/>
      <c r="M18" s="17">
        <v>2</v>
      </c>
      <c r="N18" s="17">
        <v>5</v>
      </c>
      <c r="O18" s="17"/>
      <c r="P18" s="17"/>
      <c r="Q18" s="17"/>
      <c r="R18" s="17"/>
      <c r="S18" s="17"/>
      <c r="T18" s="17">
        <v>20000</v>
      </c>
      <c r="U18" s="17"/>
    </row>
    <row r="19" spans="1:21" x14ac:dyDescent="0.25">
      <c r="A19" s="17" t="s">
        <v>169</v>
      </c>
      <c r="B19" s="17" t="s">
        <v>170</v>
      </c>
      <c r="C19" s="17" t="s">
        <v>171</v>
      </c>
      <c r="D19" s="19" t="s">
        <v>172</v>
      </c>
      <c r="E19" s="17" t="s">
        <v>173</v>
      </c>
      <c r="F19" s="17" t="s">
        <v>73</v>
      </c>
      <c r="G19" s="17" t="s">
        <v>110</v>
      </c>
      <c r="H19" s="17" t="s">
        <v>75</v>
      </c>
      <c r="I19" s="17">
        <v>2</v>
      </c>
      <c r="J19" s="17">
        <v>7</v>
      </c>
      <c r="K19" s="18"/>
      <c r="L19" s="17"/>
      <c r="M19" s="17"/>
      <c r="N19" s="17"/>
      <c r="O19" s="17"/>
      <c r="P19" s="17">
        <v>10000</v>
      </c>
      <c r="Q19" s="17">
        <v>65000</v>
      </c>
      <c r="R19" s="17"/>
      <c r="S19" s="17"/>
      <c r="T19" s="17">
        <v>15000</v>
      </c>
      <c r="U19" s="17"/>
    </row>
    <row r="20" spans="1:21" x14ac:dyDescent="0.25">
      <c r="A20" s="17" t="s">
        <v>175</v>
      </c>
      <c r="B20" s="17" t="s">
        <v>176</v>
      </c>
      <c r="C20" s="17" t="s">
        <v>177</v>
      </c>
      <c r="D20" s="17" t="s">
        <v>178</v>
      </c>
      <c r="E20" s="17" t="s">
        <v>179</v>
      </c>
      <c r="F20" s="17" t="s">
        <v>73</v>
      </c>
      <c r="G20" s="17" t="s">
        <v>95</v>
      </c>
      <c r="H20" s="17" t="s">
        <v>75</v>
      </c>
      <c r="I20" s="17">
        <v>1</v>
      </c>
      <c r="J20" s="17">
        <v>1</v>
      </c>
      <c r="K20" s="18"/>
      <c r="L20" s="17"/>
      <c r="M20" s="17"/>
      <c r="N20" s="17"/>
      <c r="O20" s="17">
        <v>8</v>
      </c>
      <c r="P20" s="17"/>
      <c r="Q20" s="17"/>
      <c r="R20" s="17"/>
      <c r="S20" s="17">
        <v>3000</v>
      </c>
      <c r="T20" s="17"/>
      <c r="U20" s="17"/>
    </row>
    <row r="21" spans="1:21" x14ac:dyDescent="0.25">
      <c r="A21" s="17" t="s">
        <v>181</v>
      </c>
      <c r="B21" s="17" t="s">
        <v>182</v>
      </c>
      <c r="C21" s="17" t="s">
        <v>177</v>
      </c>
      <c r="D21" s="17" t="s">
        <v>183</v>
      </c>
      <c r="E21" s="17" t="s">
        <v>184</v>
      </c>
      <c r="F21" s="17" t="s">
        <v>73</v>
      </c>
      <c r="G21" s="17" t="s">
        <v>74</v>
      </c>
      <c r="H21" s="17" t="s">
        <v>75</v>
      </c>
      <c r="I21" s="17">
        <v>1</v>
      </c>
      <c r="J21" s="17">
        <v>3</v>
      </c>
      <c r="K21" s="18">
        <v>13500</v>
      </c>
      <c r="L21" s="17">
        <v>8</v>
      </c>
      <c r="M21" s="17">
        <v>3</v>
      </c>
      <c r="N21" s="17"/>
      <c r="O21" s="17"/>
      <c r="P21" s="17"/>
      <c r="Q21" s="17"/>
      <c r="R21" s="17"/>
      <c r="S21" s="17">
        <v>2500</v>
      </c>
      <c r="T21" s="17"/>
      <c r="U21" s="17"/>
    </row>
    <row r="22" spans="1:21" x14ac:dyDescent="0.25">
      <c r="A22" s="17" t="s">
        <v>186</v>
      </c>
      <c r="B22" s="17" t="s">
        <v>187</v>
      </c>
      <c r="C22" s="17" t="s">
        <v>188</v>
      </c>
      <c r="D22" s="19">
        <v>28924</v>
      </c>
      <c r="E22" s="17" t="s">
        <v>189</v>
      </c>
      <c r="F22" s="17" t="s">
        <v>73</v>
      </c>
      <c r="G22" s="17" t="s">
        <v>74</v>
      </c>
      <c r="H22" s="17" t="s">
        <v>75</v>
      </c>
      <c r="I22" s="17">
        <v>2</v>
      </c>
      <c r="J22" s="17">
        <v>4</v>
      </c>
      <c r="K22" s="18"/>
      <c r="L22" s="17">
        <v>8</v>
      </c>
      <c r="M22" s="17">
        <v>4</v>
      </c>
      <c r="N22" s="17">
        <v>4</v>
      </c>
      <c r="O22" s="17">
        <v>6</v>
      </c>
      <c r="P22" s="17"/>
      <c r="Q22" s="17"/>
      <c r="R22" s="17">
        <v>20000</v>
      </c>
      <c r="S22" s="17"/>
      <c r="T22" s="17"/>
      <c r="U22" s="17"/>
    </row>
    <row r="23" spans="1:21" x14ac:dyDescent="0.25">
      <c r="A23" s="17" t="s">
        <v>191</v>
      </c>
      <c r="B23" s="17" t="s">
        <v>192</v>
      </c>
      <c r="C23" s="17" t="s">
        <v>188</v>
      </c>
      <c r="D23" s="19">
        <v>30263</v>
      </c>
      <c r="E23" s="17" t="s">
        <v>193</v>
      </c>
      <c r="F23" s="17" t="s">
        <v>109</v>
      </c>
      <c r="G23" s="17" t="s">
        <v>74</v>
      </c>
      <c r="H23" s="17" t="s">
        <v>75</v>
      </c>
      <c r="I23" s="17">
        <v>0</v>
      </c>
      <c r="J23" s="17">
        <v>3</v>
      </c>
      <c r="K23" s="18"/>
      <c r="L23" s="17"/>
      <c r="M23" s="17"/>
      <c r="N23" s="17"/>
      <c r="O23" s="17"/>
      <c r="P23" s="17">
        <v>10000</v>
      </c>
      <c r="Q23" s="17"/>
      <c r="R23" s="17"/>
      <c r="S23" s="17"/>
      <c r="T23" s="17"/>
      <c r="U23" s="17"/>
    </row>
    <row r="24" spans="1:21" x14ac:dyDescent="0.25">
      <c r="A24" s="17" t="s">
        <v>195</v>
      </c>
      <c r="B24" s="17" t="s">
        <v>196</v>
      </c>
      <c r="C24" s="17" t="s">
        <v>197</v>
      </c>
      <c r="D24" s="19">
        <v>27489</v>
      </c>
      <c r="E24" s="17" t="s">
        <v>198</v>
      </c>
      <c r="F24" s="17" t="s">
        <v>73</v>
      </c>
      <c r="G24" s="17" t="s">
        <v>95</v>
      </c>
      <c r="H24" s="17" t="s">
        <v>75</v>
      </c>
      <c r="I24" s="17">
        <v>2</v>
      </c>
      <c r="J24" s="17">
        <v>5</v>
      </c>
      <c r="K24" s="18"/>
      <c r="L24" s="17"/>
      <c r="M24" s="17"/>
      <c r="N24" s="17">
        <v>3</v>
      </c>
      <c r="O24" s="17">
        <v>6</v>
      </c>
      <c r="P24" s="17"/>
      <c r="Q24" s="17">
        <v>50000</v>
      </c>
      <c r="R24" s="17"/>
      <c r="S24" s="17"/>
      <c r="T24" s="17"/>
      <c r="U24" s="17"/>
    </row>
    <row r="25" spans="1:21" x14ac:dyDescent="0.25">
      <c r="A25" s="17" t="s">
        <v>200</v>
      </c>
      <c r="B25" s="17" t="s">
        <v>201</v>
      </c>
      <c r="C25" s="17" t="s">
        <v>202</v>
      </c>
      <c r="D25" s="19" t="s">
        <v>203</v>
      </c>
      <c r="E25" s="17" t="s">
        <v>204</v>
      </c>
      <c r="F25" s="17" t="s">
        <v>73</v>
      </c>
      <c r="G25" s="17" t="s">
        <v>95</v>
      </c>
      <c r="H25" s="17" t="s">
        <v>75</v>
      </c>
      <c r="I25" s="17">
        <v>1</v>
      </c>
      <c r="J25" s="17">
        <v>0</v>
      </c>
      <c r="K25" s="18"/>
      <c r="L25" s="17">
        <v>8</v>
      </c>
      <c r="M25" s="17">
        <v>5</v>
      </c>
      <c r="N25" s="17">
        <v>2</v>
      </c>
      <c r="O25" s="17"/>
      <c r="P25" s="17">
        <v>10000</v>
      </c>
      <c r="Q25" s="17"/>
      <c r="R25" s="17"/>
      <c r="S25" s="17">
        <v>2500</v>
      </c>
      <c r="T25" s="17"/>
      <c r="U25" s="17"/>
    </row>
    <row r="26" spans="1:21" x14ac:dyDescent="0.25">
      <c r="A26" s="17" t="s">
        <v>206</v>
      </c>
      <c r="B26" s="17" t="s">
        <v>207</v>
      </c>
      <c r="C26" s="17" t="s">
        <v>208</v>
      </c>
      <c r="D26" s="19">
        <v>28525</v>
      </c>
      <c r="E26" s="17" t="s">
        <v>209</v>
      </c>
      <c r="F26" s="17" t="s">
        <v>109</v>
      </c>
      <c r="G26" s="17" t="s">
        <v>95</v>
      </c>
      <c r="H26" s="17" t="s">
        <v>82</v>
      </c>
      <c r="I26" s="17">
        <v>0</v>
      </c>
      <c r="J26" s="17">
        <v>0</v>
      </c>
      <c r="K26" s="18"/>
      <c r="L26" s="17"/>
      <c r="M26" s="17">
        <v>4</v>
      </c>
      <c r="N26" s="17"/>
      <c r="O26" s="17">
        <v>5</v>
      </c>
      <c r="P26" s="17"/>
      <c r="Q26" s="17"/>
      <c r="R26" s="17"/>
      <c r="S26" s="17">
        <v>3000</v>
      </c>
      <c r="T26" s="17">
        <v>30000</v>
      </c>
      <c r="U26" s="17"/>
    </row>
    <row r="27" spans="1:21" x14ac:dyDescent="0.25">
      <c r="A27" s="17" t="s">
        <v>211</v>
      </c>
      <c r="B27" s="17" t="s">
        <v>212</v>
      </c>
      <c r="C27" s="17" t="s">
        <v>213</v>
      </c>
      <c r="D27" s="17" t="s">
        <v>214</v>
      </c>
      <c r="E27" s="17" t="s">
        <v>215</v>
      </c>
      <c r="F27" s="17" t="s">
        <v>73</v>
      </c>
      <c r="G27" s="17" t="s">
        <v>95</v>
      </c>
      <c r="H27" s="17" t="s">
        <v>82</v>
      </c>
      <c r="I27" s="17">
        <v>0</v>
      </c>
      <c r="J27" s="17">
        <v>0</v>
      </c>
      <c r="K27" s="18">
        <v>12000</v>
      </c>
      <c r="L27" s="17">
        <v>8</v>
      </c>
      <c r="M27" s="17">
        <v>4</v>
      </c>
      <c r="N27" s="17">
        <v>5</v>
      </c>
      <c r="O27" s="17">
        <v>7</v>
      </c>
      <c r="P27" s="17"/>
      <c r="Q27" s="17"/>
      <c r="R27" s="17"/>
      <c r="S27" s="17"/>
      <c r="T27" s="17"/>
      <c r="U27" s="17"/>
    </row>
    <row r="28" spans="1:21" x14ac:dyDescent="0.25">
      <c r="A28" s="17" t="s">
        <v>217</v>
      </c>
      <c r="B28" s="17" t="s">
        <v>159</v>
      </c>
      <c r="C28" s="17" t="s">
        <v>218</v>
      </c>
      <c r="D28" s="19" t="s">
        <v>219</v>
      </c>
      <c r="E28" s="17" t="s">
        <v>220</v>
      </c>
      <c r="F28" s="17" t="s">
        <v>73</v>
      </c>
      <c r="G28" s="17" t="s">
        <v>110</v>
      </c>
      <c r="H28" s="17" t="s">
        <v>82</v>
      </c>
      <c r="I28" s="17">
        <v>0</v>
      </c>
      <c r="J28" s="17">
        <v>0</v>
      </c>
      <c r="K28" s="18"/>
      <c r="L28" s="17"/>
      <c r="M28" s="17"/>
      <c r="N28" s="17"/>
      <c r="O28" s="17"/>
      <c r="P28" s="17"/>
      <c r="Q28" s="17">
        <v>15000</v>
      </c>
      <c r="R28" s="17"/>
      <c r="S28" s="17">
        <v>3000</v>
      </c>
      <c r="T28" s="17"/>
      <c r="U28" s="17"/>
    </row>
    <row r="29" spans="1:21" x14ac:dyDescent="0.25">
      <c r="A29" s="17" t="s">
        <v>222</v>
      </c>
      <c r="B29" s="17" t="s">
        <v>223</v>
      </c>
      <c r="C29" s="17" t="s">
        <v>224</v>
      </c>
      <c r="D29" s="19">
        <v>29901</v>
      </c>
      <c r="E29" s="17" t="s">
        <v>225</v>
      </c>
      <c r="F29" s="17" t="s">
        <v>73</v>
      </c>
      <c r="G29" s="17" t="s">
        <v>74</v>
      </c>
      <c r="H29" s="17" t="s">
        <v>82</v>
      </c>
      <c r="I29" s="17">
        <v>0</v>
      </c>
      <c r="J29" s="17">
        <v>0</v>
      </c>
      <c r="K29" s="18"/>
      <c r="L29" s="17">
        <v>8</v>
      </c>
      <c r="M29" s="17">
        <v>2</v>
      </c>
      <c r="N29" s="17"/>
      <c r="O29" s="17">
        <v>5</v>
      </c>
      <c r="P29" s="17"/>
      <c r="Q29" s="17"/>
      <c r="R29" s="17"/>
      <c r="S29" s="17">
        <v>2500</v>
      </c>
      <c r="T29" s="17"/>
      <c r="U29" s="17"/>
    </row>
    <row r="30" spans="1:21" x14ac:dyDescent="0.25">
      <c r="A30" s="17" t="s">
        <v>227</v>
      </c>
      <c r="B30" s="17" t="s">
        <v>228</v>
      </c>
      <c r="C30" s="17" t="s">
        <v>229</v>
      </c>
      <c r="D30" s="19">
        <v>31083</v>
      </c>
      <c r="E30" s="17" t="s">
        <v>230</v>
      </c>
      <c r="F30" s="17" t="s">
        <v>109</v>
      </c>
      <c r="G30" s="17" t="s">
        <v>110</v>
      </c>
      <c r="H30" s="17" t="s">
        <v>75</v>
      </c>
      <c r="I30" s="17">
        <v>0</v>
      </c>
      <c r="J30" s="17">
        <v>2</v>
      </c>
      <c r="K30" s="18"/>
      <c r="L30" s="17"/>
      <c r="M30" s="17"/>
      <c r="N30" s="17"/>
      <c r="O30" s="17"/>
      <c r="P30" s="17">
        <v>10000</v>
      </c>
      <c r="Q30" s="17">
        <v>17500</v>
      </c>
      <c r="R30" s="17"/>
      <c r="S30" s="17"/>
      <c r="T30" s="17"/>
      <c r="U30" s="17"/>
    </row>
    <row r="31" spans="1:21" x14ac:dyDescent="0.25">
      <c r="A31" s="17" t="s">
        <v>232</v>
      </c>
      <c r="B31" s="17" t="s">
        <v>233</v>
      </c>
      <c r="C31" s="17" t="s">
        <v>234</v>
      </c>
      <c r="D31" s="17" t="s">
        <v>235</v>
      </c>
      <c r="E31" s="17" t="s">
        <v>236</v>
      </c>
      <c r="F31" s="17" t="s">
        <v>73</v>
      </c>
      <c r="G31" s="17" t="s">
        <v>110</v>
      </c>
      <c r="H31" s="17" t="s">
        <v>75</v>
      </c>
      <c r="I31" s="17">
        <v>3</v>
      </c>
      <c r="J31" s="17">
        <v>7</v>
      </c>
      <c r="K31" s="18"/>
      <c r="L31" s="17"/>
      <c r="M31" s="17"/>
      <c r="N31" s="17"/>
      <c r="O31" s="17"/>
      <c r="P31" s="17">
        <v>8000</v>
      </c>
      <c r="Q31" s="17"/>
      <c r="R31" s="17"/>
      <c r="S31" s="17">
        <v>3000</v>
      </c>
      <c r="T31" s="17">
        <v>12500</v>
      </c>
      <c r="U31" s="17"/>
    </row>
    <row r="32" spans="1:21" x14ac:dyDescent="0.25">
      <c r="A32" s="17" t="s">
        <v>238</v>
      </c>
      <c r="B32" s="17" t="s">
        <v>239</v>
      </c>
      <c r="C32" s="17" t="s">
        <v>240</v>
      </c>
      <c r="D32" s="17" t="s">
        <v>183</v>
      </c>
      <c r="E32" s="17" t="s">
        <v>241</v>
      </c>
      <c r="F32" s="17" t="s">
        <v>73</v>
      </c>
      <c r="G32" s="17" t="s">
        <v>110</v>
      </c>
      <c r="H32" s="17" t="s">
        <v>75</v>
      </c>
      <c r="I32" s="17">
        <v>1</v>
      </c>
      <c r="J32" s="17">
        <v>5</v>
      </c>
      <c r="K32" s="18"/>
      <c r="L32" s="17"/>
      <c r="M32" s="17"/>
      <c r="N32" s="17"/>
      <c r="O32" s="17"/>
      <c r="P32" s="17"/>
      <c r="Q32" s="17">
        <v>10000</v>
      </c>
      <c r="R32" s="17">
        <v>20000</v>
      </c>
      <c r="S32" s="17"/>
      <c r="T32" s="17"/>
      <c r="U32" s="17"/>
    </row>
    <row r="33" spans="1:21" x14ac:dyDescent="0.25">
      <c r="A33" s="17" t="s">
        <v>243</v>
      </c>
      <c r="B33" s="17" t="s">
        <v>244</v>
      </c>
      <c r="C33" s="17" t="s">
        <v>245</v>
      </c>
      <c r="D33" s="19">
        <v>31110</v>
      </c>
      <c r="E33" s="17" t="s">
        <v>246</v>
      </c>
      <c r="F33" s="17" t="s">
        <v>73</v>
      </c>
      <c r="G33" s="17" t="s">
        <v>74</v>
      </c>
      <c r="H33" s="17" t="s">
        <v>75</v>
      </c>
      <c r="I33" s="17">
        <v>1</v>
      </c>
      <c r="J33" s="17">
        <v>3</v>
      </c>
      <c r="K33" s="18"/>
      <c r="L33" s="17">
        <v>8</v>
      </c>
      <c r="M33" s="17"/>
      <c r="N33" s="17"/>
      <c r="O33" s="17">
        <v>3</v>
      </c>
      <c r="P33" s="17"/>
      <c r="Q33" s="17"/>
      <c r="R33" s="17"/>
      <c r="S33" s="17">
        <v>3000</v>
      </c>
      <c r="T33" s="17"/>
      <c r="U33" s="17"/>
    </row>
    <row r="34" spans="1:21" x14ac:dyDescent="0.25">
      <c r="A34" s="17" t="s">
        <v>248</v>
      </c>
      <c r="B34" s="17" t="s">
        <v>249</v>
      </c>
      <c r="C34" s="17" t="s">
        <v>250</v>
      </c>
      <c r="D34" s="19">
        <v>28377</v>
      </c>
      <c r="E34" s="17" t="s">
        <v>251</v>
      </c>
      <c r="F34" s="17" t="s">
        <v>73</v>
      </c>
      <c r="G34" s="17" t="s">
        <v>74</v>
      </c>
      <c r="H34" s="17" t="s">
        <v>75</v>
      </c>
      <c r="I34" s="17">
        <v>1</v>
      </c>
      <c r="J34" s="17">
        <v>4</v>
      </c>
      <c r="K34" s="18"/>
      <c r="L34" s="17"/>
      <c r="M34" s="17"/>
      <c r="N34" s="17"/>
      <c r="O34" s="17">
        <v>6</v>
      </c>
      <c r="P34" s="17"/>
      <c r="Q34" s="17"/>
      <c r="R34" s="17"/>
      <c r="S34" s="17">
        <v>3000</v>
      </c>
      <c r="T34" s="17"/>
      <c r="U34" s="17"/>
    </row>
    <row r="35" spans="1:21" x14ac:dyDescent="0.25">
      <c r="A35" s="17" t="s">
        <v>253</v>
      </c>
      <c r="B35" s="17" t="s">
        <v>254</v>
      </c>
      <c r="C35" s="17" t="s">
        <v>255</v>
      </c>
      <c r="D35" s="19">
        <v>27672</v>
      </c>
      <c r="E35" s="17" t="s">
        <v>256</v>
      </c>
      <c r="F35" s="17" t="s">
        <v>109</v>
      </c>
      <c r="G35" s="17" t="s">
        <v>74</v>
      </c>
      <c r="H35" s="17" t="s">
        <v>75</v>
      </c>
      <c r="I35" s="17">
        <v>0</v>
      </c>
      <c r="J35" s="17">
        <v>2</v>
      </c>
      <c r="K35" s="18"/>
      <c r="L35" s="17">
        <v>8</v>
      </c>
      <c r="M35" s="17"/>
      <c r="N35" s="17"/>
      <c r="O35" s="17"/>
      <c r="P35" s="17"/>
      <c r="Q35" s="17">
        <v>14500</v>
      </c>
      <c r="R35" s="17">
        <v>25000</v>
      </c>
      <c r="S35" s="17"/>
      <c r="T35" s="17">
        <v>10000</v>
      </c>
      <c r="U35" s="17"/>
    </row>
    <row r="36" spans="1:21" x14ac:dyDescent="0.25">
      <c r="A36" s="17" t="s">
        <v>258</v>
      </c>
      <c r="B36" s="17" t="s">
        <v>259</v>
      </c>
      <c r="C36" s="17" t="s">
        <v>260</v>
      </c>
      <c r="D36" s="17" t="s">
        <v>261</v>
      </c>
      <c r="E36" s="17" t="s">
        <v>262</v>
      </c>
      <c r="F36" s="17" t="s">
        <v>73</v>
      </c>
      <c r="G36" s="17" t="s">
        <v>74</v>
      </c>
      <c r="H36" s="17" t="s">
        <v>75</v>
      </c>
      <c r="I36" s="17">
        <v>2</v>
      </c>
      <c r="J36" s="17">
        <v>4</v>
      </c>
      <c r="K36" s="18"/>
      <c r="L36" s="17"/>
      <c r="M36" s="17"/>
      <c r="N36" s="17"/>
      <c r="O36" s="17">
        <v>2</v>
      </c>
      <c r="P36" s="17"/>
      <c r="Q36" s="17"/>
      <c r="R36" s="17"/>
      <c r="S36" s="17"/>
      <c r="T36" s="17"/>
      <c r="U36" s="17"/>
    </row>
    <row r="37" spans="1:21" x14ac:dyDescent="0.25">
      <c r="A37" s="17" t="s">
        <v>264</v>
      </c>
      <c r="B37" s="17" t="s">
        <v>265</v>
      </c>
      <c r="C37" s="17" t="s">
        <v>266</v>
      </c>
      <c r="D37" s="17" t="s">
        <v>267</v>
      </c>
      <c r="E37" s="17" t="s">
        <v>268</v>
      </c>
      <c r="F37" s="17" t="s">
        <v>73</v>
      </c>
      <c r="G37" s="17" t="s">
        <v>74</v>
      </c>
      <c r="H37" s="17" t="s">
        <v>75</v>
      </c>
      <c r="I37" s="17">
        <v>1</v>
      </c>
      <c r="J37" s="17">
        <v>6</v>
      </c>
      <c r="K37" s="18"/>
      <c r="L37" s="17"/>
      <c r="M37" s="17"/>
      <c r="N37" s="17"/>
      <c r="O37" s="17">
        <v>4</v>
      </c>
      <c r="P37" s="17"/>
      <c r="Q37" s="17"/>
      <c r="R37" s="17"/>
      <c r="S37" s="17"/>
      <c r="T37" s="17">
        <v>13000</v>
      </c>
      <c r="U37" s="17"/>
    </row>
    <row r="38" spans="1:21" x14ac:dyDescent="0.25">
      <c r="A38" s="17" t="s">
        <v>270</v>
      </c>
      <c r="B38" s="17" t="s">
        <v>245</v>
      </c>
      <c r="C38" s="17" t="s">
        <v>271</v>
      </c>
      <c r="D38" s="19">
        <v>28501</v>
      </c>
      <c r="E38" s="17" t="s">
        <v>135</v>
      </c>
      <c r="F38" s="17" t="s">
        <v>73</v>
      </c>
      <c r="G38" s="17" t="s">
        <v>95</v>
      </c>
      <c r="H38" s="17" t="s">
        <v>82</v>
      </c>
      <c r="I38" s="17">
        <v>0</v>
      </c>
      <c r="J38" s="17">
        <v>0</v>
      </c>
      <c r="K38" s="18">
        <v>10000</v>
      </c>
      <c r="L38" s="17"/>
      <c r="M38" s="17"/>
      <c r="N38" s="17"/>
      <c r="O38" s="17"/>
      <c r="P38" s="17"/>
      <c r="Q38" s="17"/>
      <c r="R38" s="17"/>
      <c r="S38" s="17">
        <v>3000</v>
      </c>
      <c r="T38" s="17"/>
      <c r="U38" s="17"/>
    </row>
    <row r="39" spans="1:21" x14ac:dyDescent="0.25">
      <c r="A39" s="17" t="s">
        <v>273</v>
      </c>
      <c r="B39" s="17" t="s">
        <v>274</v>
      </c>
      <c r="C39" s="17" t="s">
        <v>271</v>
      </c>
      <c r="D39" s="17" t="s">
        <v>275</v>
      </c>
      <c r="E39" s="17" t="s">
        <v>276</v>
      </c>
      <c r="F39" s="17" t="s">
        <v>73</v>
      </c>
      <c r="G39" s="17" t="s">
        <v>110</v>
      </c>
      <c r="H39" s="17" t="s">
        <v>82</v>
      </c>
      <c r="I39" s="17">
        <v>0</v>
      </c>
      <c r="J39" s="17">
        <v>0</v>
      </c>
      <c r="K39" s="18"/>
      <c r="L39" s="17"/>
      <c r="M39" s="17"/>
      <c r="N39" s="17"/>
      <c r="O39" s="17"/>
      <c r="P39" s="17"/>
      <c r="Q39" s="17">
        <v>10000</v>
      </c>
      <c r="R39" s="17">
        <v>15000</v>
      </c>
      <c r="S39" s="17"/>
      <c r="T39" s="17">
        <v>10000</v>
      </c>
      <c r="U39" s="17"/>
    </row>
    <row r="40" spans="1:21" x14ac:dyDescent="0.25">
      <c r="A40" s="17" t="s">
        <v>278</v>
      </c>
      <c r="B40" s="17" t="s">
        <v>279</v>
      </c>
      <c r="C40" s="17" t="s">
        <v>280</v>
      </c>
      <c r="D40" s="17" t="s">
        <v>281</v>
      </c>
      <c r="E40" s="17" t="s">
        <v>103</v>
      </c>
      <c r="F40" s="17" t="s">
        <v>109</v>
      </c>
      <c r="G40" s="17" t="s">
        <v>95</v>
      </c>
      <c r="H40" s="17" t="s">
        <v>82</v>
      </c>
      <c r="I40" s="17">
        <v>0</v>
      </c>
      <c r="J40" s="17">
        <v>0</v>
      </c>
      <c r="K40" s="18"/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A41" s="17" t="s">
        <v>283</v>
      </c>
      <c r="B41" s="17" t="s">
        <v>284</v>
      </c>
      <c r="C41" s="17" t="s">
        <v>280</v>
      </c>
      <c r="D41" s="17" t="s">
        <v>285</v>
      </c>
      <c r="E41" s="17" t="s">
        <v>94</v>
      </c>
      <c r="F41" s="17" t="s">
        <v>109</v>
      </c>
      <c r="G41" s="17" t="s">
        <v>95</v>
      </c>
      <c r="H41" s="17" t="s">
        <v>82</v>
      </c>
      <c r="I41" s="17">
        <v>0</v>
      </c>
      <c r="J41" s="17">
        <v>0</v>
      </c>
      <c r="K41" s="18"/>
      <c r="L41" s="17">
        <v>8</v>
      </c>
      <c r="M41" s="17">
        <v>5</v>
      </c>
      <c r="N41" s="17"/>
      <c r="O41" s="17"/>
      <c r="P41" s="17"/>
      <c r="Q41" s="17"/>
      <c r="R41" s="17"/>
      <c r="S41" s="17">
        <v>5000</v>
      </c>
      <c r="T41" s="17"/>
      <c r="U41" s="17"/>
    </row>
    <row r="42" spans="1:21" x14ac:dyDescent="0.25">
      <c r="A42" s="17" t="s">
        <v>287</v>
      </c>
      <c r="B42" s="17" t="s">
        <v>288</v>
      </c>
      <c r="C42" s="17" t="s">
        <v>289</v>
      </c>
      <c r="D42" s="17" t="s">
        <v>290</v>
      </c>
      <c r="E42" s="17" t="s">
        <v>72</v>
      </c>
      <c r="F42" s="17" t="s">
        <v>73</v>
      </c>
      <c r="G42" s="17" t="s">
        <v>110</v>
      </c>
      <c r="H42" s="17" t="s">
        <v>82</v>
      </c>
      <c r="I42" s="17">
        <v>0</v>
      </c>
      <c r="J42" s="17">
        <v>1</v>
      </c>
      <c r="K42" s="18"/>
      <c r="L42" s="17"/>
      <c r="M42" s="17"/>
      <c r="N42" s="17"/>
      <c r="O42" s="17"/>
      <c r="P42" s="17"/>
      <c r="Q42" s="17">
        <v>55000</v>
      </c>
      <c r="R42" s="17"/>
      <c r="S42" s="17">
        <v>2500</v>
      </c>
      <c r="T42" s="17"/>
      <c r="U42" s="17">
        <v>30000</v>
      </c>
    </row>
    <row r="43" spans="1:21" x14ac:dyDescent="0.25">
      <c r="A43" s="17" t="s">
        <v>292</v>
      </c>
      <c r="B43" s="17" t="s">
        <v>293</v>
      </c>
      <c r="C43" s="17" t="s">
        <v>294</v>
      </c>
      <c r="D43" s="17" t="s">
        <v>295</v>
      </c>
      <c r="E43" s="17" t="s">
        <v>296</v>
      </c>
      <c r="F43" s="17" t="s">
        <v>73</v>
      </c>
      <c r="G43" s="17" t="s">
        <v>95</v>
      </c>
      <c r="H43" s="17" t="s">
        <v>75</v>
      </c>
      <c r="I43" s="17">
        <v>2</v>
      </c>
      <c r="J43" s="17">
        <v>5</v>
      </c>
      <c r="K43" s="18"/>
      <c r="L43" s="17"/>
      <c r="M43" s="17"/>
      <c r="N43" s="17"/>
      <c r="O43" s="17"/>
      <c r="P43" s="17"/>
      <c r="Q43" s="17"/>
      <c r="R43" s="17"/>
      <c r="S43" s="17"/>
      <c r="T43" s="17">
        <v>10000</v>
      </c>
      <c r="U43" s="17"/>
    </row>
    <row r="44" spans="1:21" x14ac:dyDescent="0.25">
      <c r="A44" s="17" t="s">
        <v>298</v>
      </c>
      <c r="B44" s="17" t="s">
        <v>299</v>
      </c>
      <c r="C44" s="17" t="s">
        <v>300</v>
      </c>
      <c r="D44" s="17" t="s">
        <v>301</v>
      </c>
      <c r="E44" s="17" t="s">
        <v>302</v>
      </c>
      <c r="F44" s="17" t="s">
        <v>73</v>
      </c>
      <c r="G44" s="17" t="s">
        <v>95</v>
      </c>
      <c r="H44" s="17" t="s">
        <v>75</v>
      </c>
      <c r="I44" s="17">
        <v>1</v>
      </c>
      <c r="J44" s="17">
        <v>1</v>
      </c>
      <c r="K44" s="18"/>
      <c r="L44" s="17">
        <v>8</v>
      </c>
      <c r="M44" s="17">
        <v>5</v>
      </c>
      <c r="N44" s="17"/>
      <c r="O44" s="17">
        <v>4</v>
      </c>
      <c r="P44" s="17"/>
      <c r="Q44" s="17"/>
      <c r="R44" s="17"/>
      <c r="S44" s="17"/>
      <c r="T44" s="17">
        <v>15000</v>
      </c>
      <c r="U44" s="17"/>
    </row>
    <row r="45" spans="1:21" x14ac:dyDescent="0.25">
      <c r="A45" s="17" t="s">
        <v>304</v>
      </c>
      <c r="B45" s="17" t="s">
        <v>305</v>
      </c>
      <c r="C45" s="17" t="s">
        <v>306</v>
      </c>
      <c r="D45" s="19">
        <v>27974</v>
      </c>
      <c r="E45" s="17" t="s">
        <v>246</v>
      </c>
      <c r="F45" s="17" t="s">
        <v>73</v>
      </c>
      <c r="G45" s="17" t="s">
        <v>74</v>
      </c>
      <c r="H45" s="17" t="s">
        <v>75</v>
      </c>
      <c r="I45" s="17">
        <v>1</v>
      </c>
      <c r="J45" s="17">
        <v>1</v>
      </c>
      <c r="K45" s="18"/>
      <c r="L45" s="17"/>
      <c r="M45" s="17"/>
      <c r="N45" s="17"/>
      <c r="O45" s="17">
        <v>2</v>
      </c>
      <c r="P45" s="17">
        <v>8500</v>
      </c>
      <c r="Q45" s="17"/>
      <c r="R45" s="17"/>
      <c r="S45" s="17">
        <v>2500</v>
      </c>
      <c r="T45" s="17"/>
      <c r="U45" s="17"/>
    </row>
    <row r="46" spans="1:21" x14ac:dyDescent="0.25">
      <c r="A46" s="17" t="s">
        <v>308</v>
      </c>
      <c r="B46" s="17" t="s">
        <v>309</v>
      </c>
      <c r="C46" s="17" t="s">
        <v>310</v>
      </c>
      <c r="D46" s="17" t="s">
        <v>311</v>
      </c>
      <c r="E46" s="17" t="s">
        <v>312</v>
      </c>
      <c r="F46" s="17" t="s">
        <v>109</v>
      </c>
      <c r="G46" s="17" t="s">
        <v>74</v>
      </c>
      <c r="H46" s="17" t="s">
        <v>75</v>
      </c>
      <c r="I46" s="17">
        <v>0</v>
      </c>
      <c r="J46" s="17">
        <v>2</v>
      </c>
      <c r="K46" s="18">
        <v>15000</v>
      </c>
      <c r="L46" s="17"/>
      <c r="M46" s="17"/>
      <c r="N46" s="17"/>
      <c r="O46" s="17"/>
      <c r="P46" s="17"/>
      <c r="Q46" s="17">
        <v>31500</v>
      </c>
      <c r="R46" s="17"/>
      <c r="S46" s="17"/>
      <c r="T46" s="17"/>
      <c r="U46" s="17"/>
    </row>
    <row r="47" spans="1:21" x14ac:dyDescent="0.25">
      <c r="A47" s="17" t="s">
        <v>314</v>
      </c>
      <c r="B47" s="17" t="s">
        <v>315</v>
      </c>
      <c r="C47" s="17" t="s">
        <v>316</v>
      </c>
      <c r="D47" s="17" t="s">
        <v>317</v>
      </c>
      <c r="E47" s="17" t="s">
        <v>162</v>
      </c>
      <c r="F47" s="17" t="s">
        <v>73</v>
      </c>
      <c r="G47" s="17" t="s">
        <v>74</v>
      </c>
      <c r="H47" s="17" t="s">
        <v>75</v>
      </c>
      <c r="I47" s="17">
        <v>1</v>
      </c>
      <c r="J47" s="17">
        <v>1</v>
      </c>
      <c r="K47" s="18"/>
      <c r="L47" s="17">
        <v>8</v>
      </c>
      <c r="M47" s="17">
        <v>5</v>
      </c>
      <c r="N47" s="17"/>
      <c r="O47" s="17">
        <v>4</v>
      </c>
      <c r="P47" s="17"/>
      <c r="Q47" s="17"/>
      <c r="R47" s="17"/>
      <c r="S47" s="17"/>
      <c r="T47" s="17">
        <v>15000</v>
      </c>
      <c r="U47" s="17"/>
    </row>
    <row r="48" spans="1:21" x14ac:dyDescent="0.25">
      <c r="A48" s="17" t="s">
        <v>319</v>
      </c>
      <c r="B48" s="17" t="s">
        <v>320</v>
      </c>
      <c r="C48" s="17" t="s">
        <v>321</v>
      </c>
      <c r="D48" s="17" t="s">
        <v>322</v>
      </c>
      <c r="E48" s="17" t="s">
        <v>323</v>
      </c>
      <c r="F48" s="17" t="s">
        <v>73</v>
      </c>
      <c r="G48" s="17" t="s">
        <v>74</v>
      </c>
      <c r="H48" s="17" t="s">
        <v>75</v>
      </c>
      <c r="I48" s="17">
        <v>2</v>
      </c>
      <c r="J48" s="17">
        <v>5</v>
      </c>
      <c r="K48" s="18"/>
      <c r="L48" s="17">
        <v>8</v>
      </c>
      <c r="M48" s="17">
        <v>5</v>
      </c>
      <c r="N48" s="17"/>
      <c r="O48" s="17">
        <v>3</v>
      </c>
      <c r="P48" s="17"/>
      <c r="Q48" s="17"/>
      <c r="R48" s="17">
        <v>20000</v>
      </c>
      <c r="S48" s="17"/>
      <c r="T48" s="17"/>
      <c r="U48" s="17"/>
    </row>
    <row r="49" spans="1:21" x14ac:dyDescent="0.25">
      <c r="A49" s="17" t="s">
        <v>325</v>
      </c>
      <c r="B49" s="17" t="s">
        <v>326</v>
      </c>
      <c r="C49" s="17" t="s">
        <v>321</v>
      </c>
      <c r="D49" s="17" t="s">
        <v>327</v>
      </c>
      <c r="E49" s="17" t="s">
        <v>220</v>
      </c>
      <c r="F49" s="17" t="s">
        <v>109</v>
      </c>
      <c r="G49" s="17" t="s">
        <v>74</v>
      </c>
      <c r="H49" s="17" t="s">
        <v>75</v>
      </c>
      <c r="I49" s="17">
        <v>0</v>
      </c>
      <c r="J49" s="17">
        <v>2</v>
      </c>
      <c r="K49" s="18">
        <v>9500</v>
      </c>
      <c r="L49" s="17"/>
      <c r="M49" s="17"/>
      <c r="N49" s="17"/>
      <c r="O49" s="17"/>
      <c r="P49" s="17">
        <v>5000</v>
      </c>
      <c r="Q49" s="17"/>
      <c r="R49" s="17">
        <v>25000</v>
      </c>
      <c r="S49" s="17">
        <v>3000</v>
      </c>
      <c r="T49" s="17">
        <v>14500</v>
      </c>
      <c r="U49" s="17"/>
    </row>
    <row r="50" spans="1:21" x14ac:dyDescent="0.25">
      <c r="A50" s="17" t="s">
        <v>329</v>
      </c>
      <c r="B50" s="17" t="s">
        <v>330</v>
      </c>
      <c r="C50" s="17" t="s">
        <v>331</v>
      </c>
      <c r="D50" s="17" t="s">
        <v>332</v>
      </c>
      <c r="E50" s="17" t="s">
        <v>72</v>
      </c>
      <c r="F50" s="17" t="s">
        <v>73</v>
      </c>
      <c r="G50" s="17" t="s">
        <v>74</v>
      </c>
      <c r="H50" s="17" t="s">
        <v>75</v>
      </c>
      <c r="I50" s="17">
        <v>2</v>
      </c>
      <c r="J50" s="17">
        <v>5</v>
      </c>
      <c r="K50" s="18"/>
      <c r="L50" s="17">
        <v>8</v>
      </c>
      <c r="M50" s="17"/>
      <c r="N50" s="17"/>
      <c r="O50" s="17"/>
      <c r="P50" s="17"/>
      <c r="Q50" s="17"/>
      <c r="R50" s="17"/>
      <c r="S50" s="17"/>
      <c r="T50" s="17"/>
      <c r="U50" s="17"/>
    </row>
    <row r="51" spans="1:21" x14ac:dyDescent="0.25">
      <c r="A51" s="17" t="s">
        <v>334</v>
      </c>
      <c r="B51" s="17" t="s">
        <v>335</v>
      </c>
      <c r="C51" s="17" t="s">
        <v>336</v>
      </c>
      <c r="D51" s="17" t="s">
        <v>337</v>
      </c>
      <c r="E51" s="17" t="s">
        <v>189</v>
      </c>
      <c r="F51" s="17" t="s">
        <v>73</v>
      </c>
      <c r="G51" s="17" t="s">
        <v>74</v>
      </c>
      <c r="H51" s="17" t="s">
        <v>82</v>
      </c>
      <c r="I51" s="17">
        <v>0</v>
      </c>
      <c r="J51" s="17">
        <v>0</v>
      </c>
      <c r="K51" s="18"/>
      <c r="L51" s="17">
        <v>8</v>
      </c>
      <c r="M51" s="17">
        <v>2</v>
      </c>
      <c r="N51" s="17">
        <v>3</v>
      </c>
      <c r="O51" s="17"/>
      <c r="P51" s="17">
        <v>7000</v>
      </c>
      <c r="Q51" s="17"/>
      <c r="R51" s="17"/>
      <c r="S51" s="17">
        <v>3000</v>
      </c>
      <c r="T51" s="17">
        <v>13500</v>
      </c>
      <c r="U51" s="17"/>
    </row>
  </sheetData>
  <pageMargins left="0.70866141732283472" right="0.70866141732283472" top="0.74803149606299213" bottom="0.74803149606299213" header="0.31496062992125984" footer="0.31496062992125984"/>
  <pageSetup paperSize="9" scale="33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P51"/>
  <sheetViews>
    <sheetView workbookViewId="0"/>
  </sheetViews>
  <sheetFormatPr baseColWidth="10" defaultRowHeight="15" x14ac:dyDescent="0.25"/>
  <cols>
    <col min="1" max="1" width="16.5703125" style="1" bestFit="1" customWidth="1"/>
    <col min="2" max="3" width="15.85546875" style="1" customWidth="1"/>
    <col min="4" max="4" width="16.85546875" style="1" bestFit="1" customWidth="1"/>
    <col min="5" max="5" width="15.140625" style="1" bestFit="1" customWidth="1"/>
    <col min="6" max="6" width="13.28515625" style="1" bestFit="1" customWidth="1"/>
    <col min="7" max="7" width="16.5703125" style="1" bestFit="1" customWidth="1"/>
    <col min="8" max="8" width="11.28515625" style="1" bestFit="1" customWidth="1"/>
    <col min="9" max="9" width="10.28515625" style="1" customWidth="1"/>
    <col min="10" max="10" width="11.42578125" style="1"/>
    <col min="11" max="11" width="13.85546875" style="1" bestFit="1" customWidth="1"/>
    <col min="12" max="12" width="20" style="1" bestFit="1" customWidth="1"/>
    <col min="13" max="15" width="11.42578125" style="1"/>
    <col min="16" max="16" width="12" style="1" bestFit="1" customWidth="1"/>
  </cols>
  <sheetData>
    <row r="1" spans="1:16" x14ac:dyDescent="0.25">
      <c r="A1" s="11" t="s">
        <v>0</v>
      </c>
      <c r="B1" s="11" t="s">
        <v>18</v>
      </c>
      <c r="C1" s="11" t="s">
        <v>49</v>
      </c>
      <c r="D1" s="11" t="s">
        <v>25</v>
      </c>
      <c r="E1" s="11" t="s">
        <v>26</v>
      </c>
      <c r="F1" s="11" t="s">
        <v>27</v>
      </c>
      <c r="G1" s="11" t="s">
        <v>24</v>
      </c>
      <c r="H1" s="11" t="s">
        <v>29</v>
      </c>
      <c r="I1" s="11" t="s">
        <v>15</v>
      </c>
      <c r="J1" s="11" t="s">
        <v>19</v>
      </c>
      <c r="K1" s="11" t="s">
        <v>30</v>
      </c>
      <c r="L1" s="11" t="s">
        <v>28</v>
      </c>
      <c r="M1" s="11" t="s">
        <v>23</v>
      </c>
      <c r="N1" s="11" t="s">
        <v>20</v>
      </c>
      <c r="O1" s="11" t="s">
        <v>22</v>
      </c>
      <c r="P1" s="11" t="s">
        <v>21</v>
      </c>
    </row>
    <row r="2" spans="1:16" x14ac:dyDescent="0.25">
      <c r="A2" s="1" t="s">
        <v>69</v>
      </c>
      <c r="B2" s="1" t="s">
        <v>76</v>
      </c>
      <c r="C2" s="1">
        <v>350126.60000000003</v>
      </c>
      <c r="D2" s="1">
        <v>350126.60000000003</v>
      </c>
      <c r="E2" s="1">
        <v>20160</v>
      </c>
      <c r="F2" s="1">
        <v>8403.0384000000013</v>
      </c>
      <c r="G2" s="1">
        <v>350126.60000000003</v>
      </c>
      <c r="H2" s="1">
        <v>350000</v>
      </c>
      <c r="I2" s="1">
        <v>4500</v>
      </c>
      <c r="J2" s="1">
        <v>900</v>
      </c>
      <c r="K2" s="1">
        <v>44625</v>
      </c>
      <c r="L2" s="1">
        <v>25000</v>
      </c>
      <c r="M2" s="1">
        <v>0</v>
      </c>
      <c r="N2" s="1">
        <v>103588.0384</v>
      </c>
      <c r="O2" s="1">
        <v>0</v>
      </c>
      <c r="P2" s="1">
        <v>246538.56160000002</v>
      </c>
    </row>
    <row r="3" spans="1:16" x14ac:dyDescent="0.25">
      <c r="A3" s="1" t="s">
        <v>77</v>
      </c>
      <c r="B3" s="1" t="s">
        <v>83</v>
      </c>
      <c r="C3" s="1">
        <v>350126.60000000003</v>
      </c>
      <c r="D3" s="1">
        <v>378862.60000000003</v>
      </c>
      <c r="E3" s="1">
        <v>20160</v>
      </c>
      <c r="F3" s="1">
        <v>9092.7024000000001</v>
      </c>
      <c r="G3" s="1">
        <v>378862.60000000003</v>
      </c>
      <c r="H3" s="1">
        <v>378000</v>
      </c>
      <c r="I3" s="1">
        <v>0</v>
      </c>
      <c r="J3" s="1">
        <v>900</v>
      </c>
      <c r="K3" s="1">
        <v>67900</v>
      </c>
      <c r="L3" s="1">
        <v>0</v>
      </c>
      <c r="M3" s="1">
        <v>0</v>
      </c>
      <c r="N3" s="1">
        <v>98052.702400000009</v>
      </c>
      <c r="O3" s="1">
        <v>15000</v>
      </c>
      <c r="P3" s="1">
        <v>295809.89760000003</v>
      </c>
    </row>
    <row r="4" spans="1:16" x14ac:dyDescent="0.25">
      <c r="A4" s="1" t="s">
        <v>84</v>
      </c>
      <c r="B4" s="1" t="s">
        <v>89</v>
      </c>
      <c r="C4" s="1">
        <v>350126.60000000003</v>
      </c>
      <c r="D4" s="1">
        <v>369518.60000000003</v>
      </c>
      <c r="E4" s="1">
        <v>20160</v>
      </c>
      <c r="F4" s="1">
        <v>8868.4464000000007</v>
      </c>
      <c r="G4" s="1">
        <v>369518.60000000003</v>
      </c>
      <c r="H4" s="1">
        <v>369000</v>
      </c>
      <c r="I4" s="1">
        <v>5000</v>
      </c>
      <c r="J4" s="1">
        <v>1800</v>
      </c>
      <c r="K4" s="1">
        <v>65200</v>
      </c>
      <c r="L4" s="1">
        <v>0</v>
      </c>
      <c r="M4" s="1">
        <v>0</v>
      </c>
      <c r="N4" s="1">
        <v>101028.4464</v>
      </c>
      <c r="O4" s="1">
        <v>0</v>
      </c>
      <c r="P4" s="1">
        <v>268490.15360000002</v>
      </c>
    </row>
    <row r="5" spans="1:16" x14ac:dyDescent="0.25">
      <c r="A5" s="1" t="s">
        <v>90</v>
      </c>
      <c r="B5" s="1" t="s">
        <v>96</v>
      </c>
      <c r="C5" s="1">
        <v>240062.05000000002</v>
      </c>
      <c r="D5" s="1">
        <v>259480.05000000002</v>
      </c>
      <c r="E5" s="1">
        <v>20160</v>
      </c>
      <c r="F5" s="1">
        <v>6227.5212000000001</v>
      </c>
      <c r="G5" s="1">
        <v>259480.05000000002</v>
      </c>
      <c r="H5" s="1">
        <v>259000</v>
      </c>
      <c r="I5" s="1">
        <v>0</v>
      </c>
      <c r="J5" s="1">
        <v>1800</v>
      </c>
      <c r="K5" s="1">
        <v>25760</v>
      </c>
      <c r="L5" s="1">
        <v>0</v>
      </c>
      <c r="M5" s="1">
        <v>0</v>
      </c>
      <c r="N5" s="1">
        <v>53947.521200000003</v>
      </c>
      <c r="O5" s="1">
        <v>10000</v>
      </c>
      <c r="P5" s="1">
        <v>215532.52880000003</v>
      </c>
    </row>
    <row r="6" spans="1:16" x14ac:dyDescent="0.25">
      <c r="A6" s="1" t="s">
        <v>97</v>
      </c>
      <c r="B6" s="1" t="s">
        <v>120</v>
      </c>
      <c r="C6" s="1">
        <v>240062.05000000002</v>
      </c>
      <c r="D6" s="1">
        <v>258344.05000000002</v>
      </c>
      <c r="E6" s="1">
        <v>20160</v>
      </c>
      <c r="F6" s="1">
        <v>6200.2572000000009</v>
      </c>
      <c r="G6" s="1">
        <v>293344.05000000005</v>
      </c>
      <c r="H6" s="1">
        <v>293000</v>
      </c>
      <c r="I6" s="1">
        <v>3500</v>
      </c>
      <c r="J6" s="1">
        <v>900</v>
      </c>
      <c r="K6" s="1">
        <v>42400</v>
      </c>
      <c r="L6" s="1">
        <v>30000</v>
      </c>
      <c r="M6" s="1">
        <v>20000</v>
      </c>
      <c r="N6" s="1">
        <v>123160.25719999999</v>
      </c>
      <c r="O6" s="1">
        <v>0</v>
      </c>
      <c r="P6" s="1">
        <v>135183.79280000002</v>
      </c>
    </row>
    <row r="7" spans="1:16" x14ac:dyDescent="0.25">
      <c r="A7" s="1" t="s">
        <v>100</v>
      </c>
      <c r="B7" s="1" t="s">
        <v>104</v>
      </c>
      <c r="C7" s="1">
        <v>240062.05000000002</v>
      </c>
      <c r="D7" s="1">
        <v>240062.05000000002</v>
      </c>
      <c r="E7" s="1">
        <v>20160</v>
      </c>
      <c r="F7" s="1">
        <v>5761.4892000000009</v>
      </c>
      <c r="G7" s="1">
        <v>240062.05000000002</v>
      </c>
      <c r="H7" s="1">
        <v>240000</v>
      </c>
      <c r="I7" s="1">
        <v>2500</v>
      </c>
      <c r="J7" s="1">
        <v>900</v>
      </c>
      <c r="K7" s="1">
        <v>27400</v>
      </c>
      <c r="L7" s="1">
        <v>0</v>
      </c>
      <c r="M7" s="1">
        <v>0</v>
      </c>
      <c r="N7" s="1">
        <v>56721.489199999996</v>
      </c>
      <c r="O7" s="1">
        <v>0</v>
      </c>
      <c r="P7" s="1">
        <v>183340.56080000004</v>
      </c>
    </row>
    <row r="8" spans="1:16" x14ac:dyDescent="0.25">
      <c r="A8" s="1" t="s">
        <v>105</v>
      </c>
      <c r="B8" s="1" t="s">
        <v>122</v>
      </c>
      <c r="C8" s="1">
        <v>469897.63000000006</v>
      </c>
      <c r="D8" s="1">
        <v>479897.63000000006</v>
      </c>
      <c r="E8" s="1">
        <v>20160</v>
      </c>
      <c r="F8" s="1">
        <v>11517.543120000002</v>
      </c>
      <c r="G8" s="1">
        <v>539897.63000000012</v>
      </c>
      <c r="H8" s="1">
        <v>539000</v>
      </c>
      <c r="I8" s="1">
        <v>0</v>
      </c>
      <c r="J8" s="1">
        <v>900</v>
      </c>
      <c r="K8" s="1">
        <v>85913.333333333328</v>
      </c>
      <c r="L8" s="1">
        <v>0</v>
      </c>
      <c r="M8" s="1">
        <v>0</v>
      </c>
      <c r="N8" s="1">
        <v>118490.87645333333</v>
      </c>
      <c r="O8" s="1">
        <v>10000</v>
      </c>
      <c r="P8" s="1">
        <v>371406.7535466667</v>
      </c>
    </row>
    <row r="9" spans="1:16" x14ac:dyDescent="0.25">
      <c r="A9" s="1" t="s">
        <v>111</v>
      </c>
      <c r="B9" s="1" t="s">
        <v>115</v>
      </c>
      <c r="C9" s="1">
        <v>469897.63000000006</v>
      </c>
      <c r="D9" s="1">
        <v>469897.63000000006</v>
      </c>
      <c r="E9" s="1">
        <v>20160</v>
      </c>
      <c r="F9" s="1">
        <v>11277.543120000002</v>
      </c>
      <c r="G9" s="1">
        <v>469897.63000000006</v>
      </c>
      <c r="H9" s="1">
        <v>469000</v>
      </c>
      <c r="I9" s="1">
        <v>3000</v>
      </c>
      <c r="J9" s="1">
        <v>900</v>
      </c>
      <c r="K9" s="1">
        <v>98233.333333333328</v>
      </c>
      <c r="L9" s="1">
        <v>0</v>
      </c>
      <c r="M9" s="1">
        <v>0</v>
      </c>
      <c r="N9" s="1">
        <v>133570.87645333333</v>
      </c>
      <c r="O9" s="1">
        <v>0</v>
      </c>
      <c r="P9" s="1">
        <v>336326.7535466667</v>
      </c>
    </row>
    <row r="10" spans="1:16" x14ac:dyDescent="0.25">
      <c r="A10" s="1" t="s">
        <v>123</v>
      </c>
      <c r="B10" s="1" t="s">
        <v>125</v>
      </c>
      <c r="C10" s="1">
        <v>469897.63000000006</v>
      </c>
      <c r="D10" s="1">
        <v>469897.63000000006</v>
      </c>
      <c r="E10" s="1">
        <v>20160</v>
      </c>
      <c r="F10" s="1">
        <v>11277.543120000002</v>
      </c>
      <c r="G10" s="1">
        <v>507397.63000000006</v>
      </c>
      <c r="H10" s="1">
        <v>507000</v>
      </c>
      <c r="I10" s="1">
        <v>3000</v>
      </c>
      <c r="J10" s="1">
        <v>2700</v>
      </c>
      <c r="K10" s="1">
        <v>111533.33333333333</v>
      </c>
      <c r="L10" s="1">
        <v>55000</v>
      </c>
      <c r="M10" s="1">
        <v>0</v>
      </c>
      <c r="N10" s="1">
        <v>203670.87645333333</v>
      </c>
      <c r="O10" s="1">
        <v>0</v>
      </c>
      <c r="P10" s="1">
        <v>266226.7535466667</v>
      </c>
    </row>
    <row r="11" spans="1:16" x14ac:dyDescent="0.25">
      <c r="A11" s="1" t="s">
        <v>126</v>
      </c>
      <c r="B11" s="1" t="s">
        <v>130</v>
      </c>
      <c r="C11" s="1">
        <v>469897.63000000006</v>
      </c>
      <c r="D11" s="1">
        <v>469897.63000000006</v>
      </c>
      <c r="E11" s="1">
        <v>20160</v>
      </c>
      <c r="F11" s="1">
        <v>11277.543120000002</v>
      </c>
      <c r="G11" s="1">
        <v>519897.63000000006</v>
      </c>
      <c r="H11" s="1">
        <v>519000</v>
      </c>
      <c r="I11" s="1">
        <v>0</v>
      </c>
      <c r="J11" s="1">
        <v>900</v>
      </c>
      <c r="K11" s="1">
        <v>115733.33333333333</v>
      </c>
      <c r="L11" s="1">
        <v>0</v>
      </c>
      <c r="M11" s="1">
        <v>0</v>
      </c>
      <c r="N11" s="1">
        <v>148070.87645333333</v>
      </c>
      <c r="O11" s="1">
        <v>0</v>
      </c>
      <c r="P11" s="1">
        <v>321826.7535466667</v>
      </c>
    </row>
    <row r="12" spans="1:16" x14ac:dyDescent="0.25">
      <c r="A12" s="1" t="s">
        <v>131</v>
      </c>
      <c r="B12" s="1" t="s">
        <v>136</v>
      </c>
      <c r="C12" s="1">
        <v>350126.60000000003</v>
      </c>
      <c r="D12" s="1">
        <v>362246.60000000003</v>
      </c>
      <c r="E12" s="1">
        <v>20160</v>
      </c>
      <c r="F12" s="1">
        <v>8693.9184000000005</v>
      </c>
      <c r="G12" s="1">
        <v>362246.60000000003</v>
      </c>
      <c r="H12" s="1">
        <v>362000</v>
      </c>
      <c r="I12" s="1">
        <v>3000</v>
      </c>
      <c r="J12" s="1">
        <v>900</v>
      </c>
      <c r="K12" s="1">
        <v>63100</v>
      </c>
      <c r="L12" s="1">
        <v>0</v>
      </c>
      <c r="M12" s="1">
        <v>0</v>
      </c>
      <c r="N12" s="1">
        <v>95853.918399999995</v>
      </c>
      <c r="O12" s="1">
        <v>0</v>
      </c>
      <c r="P12" s="1">
        <v>266392.68160000001</v>
      </c>
    </row>
    <row r="13" spans="1:16" x14ac:dyDescent="0.25">
      <c r="A13" s="1" t="s">
        <v>137</v>
      </c>
      <c r="B13" s="1" t="s">
        <v>141</v>
      </c>
      <c r="C13" s="1">
        <v>350126.60000000003</v>
      </c>
      <c r="D13" s="1">
        <v>356590.60000000003</v>
      </c>
      <c r="E13" s="1">
        <v>20160</v>
      </c>
      <c r="F13" s="1">
        <v>8558.1744000000017</v>
      </c>
      <c r="G13" s="1">
        <v>356590.60000000003</v>
      </c>
      <c r="H13" s="1">
        <v>356000</v>
      </c>
      <c r="I13" s="1">
        <v>0</v>
      </c>
      <c r="J13" s="1">
        <v>900</v>
      </c>
      <c r="K13" s="1">
        <v>61300</v>
      </c>
      <c r="L13" s="1">
        <v>17500</v>
      </c>
      <c r="M13" s="1">
        <v>0</v>
      </c>
      <c r="N13" s="1">
        <v>108418.1744</v>
      </c>
      <c r="O13" s="1">
        <v>0</v>
      </c>
      <c r="P13" s="1">
        <v>248172.42560000002</v>
      </c>
    </row>
    <row r="14" spans="1:16" x14ac:dyDescent="0.25">
      <c r="A14" s="1" t="s">
        <v>142</v>
      </c>
      <c r="B14" s="1" t="s">
        <v>147</v>
      </c>
      <c r="C14" s="1">
        <v>350126.60000000003</v>
      </c>
      <c r="D14" s="1">
        <v>376386.60000000003</v>
      </c>
      <c r="E14" s="1">
        <v>20160</v>
      </c>
      <c r="F14" s="1">
        <v>9033.2784000000011</v>
      </c>
      <c r="G14" s="1">
        <v>376386.60000000003</v>
      </c>
      <c r="H14" s="1">
        <v>376000</v>
      </c>
      <c r="I14" s="1">
        <v>3000</v>
      </c>
      <c r="J14" s="1">
        <v>900</v>
      </c>
      <c r="K14" s="1">
        <v>67300</v>
      </c>
      <c r="L14" s="1">
        <v>0</v>
      </c>
      <c r="M14" s="1">
        <v>15000</v>
      </c>
      <c r="N14" s="1">
        <v>115393.27840000001</v>
      </c>
      <c r="O14" s="1">
        <v>0</v>
      </c>
      <c r="P14" s="1">
        <v>260993.32160000002</v>
      </c>
    </row>
    <row r="15" spans="1:16" x14ac:dyDescent="0.25">
      <c r="A15" s="1" t="s">
        <v>148</v>
      </c>
      <c r="B15" s="1" t="s">
        <v>153</v>
      </c>
      <c r="C15" s="1">
        <v>240062.05000000002</v>
      </c>
      <c r="D15" s="1">
        <v>240062.05000000002</v>
      </c>
      <c r="E15" s="1">
        <v>20160</v>
      </c>
      <c r="F15" s="1">
        <v>5761.4892000000009</v>
      </c>
      <c r="G15" s="1">
        <v>240062.05000000002</v>
      </c>
      <c r="H15" s="1">
        <v>240000</v>
      </c>
      <c r="I15" s="1">
        <v>2500</v>
      </c>
      <c r="J15" s="1">
        <v>900</v>
      </c>
      <c r="K15" s="1">
        <v>27400</v>
      </c>
      <c r="L15" s="1">
        <v>0</v>
      </c>
      <c r="M15" s="1">
        <v>0</v>
      </c>
      <c r="N15" s="1">
        <v>56721.489199999996</v>
      </c>
      <c r="O15" s="1">
        <v>0</v>
      </c>
      <c r="P15" s="1">
        <v>183340.56080000004</v>
      </c>
    </row>
    <row r="16" spans="1:16" x14ac:dyDescent="0.25">
      <c r="A16" s="1" t="s">
        <v>154</v>
      </c>
      <c r="B16" s="1" t="s">
        <v>157</v>
      </c>
      <c r="C16" s="1">
        <v>240062.05000000002</v>
      </c>
      <c r="D16" s="1">
        <v>260837.05000000002</v>
      </c>
      <c r="E16" s="1">
        <v>20160</v>
      </c>
      <c r="F16" s="1">
        <v>6260.0892000000003</v>
      </c>
      <c r="G16" s="1">
        <v>260837.05000000002</v>
      </c>
      <c r="H16" s="1">
        <v>260000</v>
      </c>
      <c r="I16" s="1">
        <v>0</v>
      </c>
      <c r="J16" s="1">
        <v>900</v>
      </c>
      <c r="K16" s="1">
        <v>32500</v>
      </c>
      <c r="L16" s="1">
        <v>0</v>
      </c>
      <c r="M16" s="1">
        <v>0</v>
      </c>
      <c r="N16" s="1">
        <v>59820.089200000002</v>
      </c>
      <c r="O16" s="1">
        <v>0</v>
      </c>
      <c r="P16" s="1">
        <v>201016.9608</v>
      </c>
    </row>
    <row r="17" spans="1:16" x14ac:dyDescent="0.25">
      <c r="A17" s="1" t="s">
        <v>158</v>
      </c>
      <c r="B17" s="1" t="s">
        <v>163</v>
      </c>
      <c r="C17" s="1">
        <v>240062.05000000002</v>
      </c>
      <c r="D17" s="1">
        <v>251724.05000000002</v>
      </c>
      <c r="E17" s="1">
        <v>20160</v>
      </c>
      <c r="F17" s="1">
        <v>6041.3772000000008</v>
      </c>
      <c r="G17" s="1">
        <v>251724.05000000002</v>
      </c>
      <c r="H17" s="1">
        <v>251000</v>
      </c>
      <c r="I17" s="1">
        <v>0</v>
      </c>
      <c r="J17" s="1">
        <v>900</v>
      </c>
      <c r="K17" s="1">
        <v>29800</v>
      </c>
      <c r="L17" s="1">
        <v>0</v>
      </c>
      <c r="M17" s="1">
        <v>0</v>
      </c>
      <c r="N17" s="1">
        <v>56901.377200000003</v>
      </c>
      <c r="O17" s="1">
        <v>10000</v>
      </c>
      <c r="P17" s="1">
        <v>204822.6728</v>
      </c>
    </row>
    <row r="18" spans="1:16" x14ac:dyDescent="0.25">
      <c r="A18" s="1" t="s">
        <v>164</v>
      </c>
      <c r="B18" s="1" t="s">
        <v>168</v>
      </c>
      <c r="C18" s="1">
        <v>240062.05000000002</v>
      </c>
      <c r="D18" s="1">
        <v>255020.05000000002</v>
      </c>
      <c r="E18" s="1">
        <v>20160</v>
      </c>
      <c r="F18" s="1">
        <v>6120.4812000000002</v>
      </c>
      <c r="G18" s="1">
        <v>255020.05000000002</v>
      </c>
      <c r="H18" s="1">
        <v>255000</v>
      </c>
      <c r="I18" s="1">
        <v>0</v>
      </c>
      <c r="J18" s="1">
        <v>1800</v>
      </c>
      <c r="K18" s="1">
        <v>31000</v>
      </c>
      <c r="L18" s="1">
        <v>20000</v>
      </c>
      <c r="M18" s="1">
        <v>0</v>
      </c>
      <c r="N18" s="1">
        <v>79080.481200000009</v>
      </c>
      <c r="O18" s="1">
        <v>0</v>
      </c>
      <c r="P18" s="1">
        <v>175939.56880000001</v>
      </c>
    </row>
    <row r="19" spans="1:16" x14ac:dyDescent="0.25">
      <c r="A19" s="1" t="s">
        <v>169</v>
      </c>
      <c r="B19" s="1" t="s">
        <v>174</v>
      </c>
      <c r="C19" s="1">
        <v>469897.63000000006</v>
      </c>
      <c r="D19" s="1">
        <v>479897.63000000006</v>
      </c>
      <c r="E19" s="1">
        <v>20160</v>
      </c>
      <c r="F19" s="1">
        <v>11517.543120000002</v>
      </c>
      <c r="G19" s="1">
        <v>544897.63000000012</v>
      </c>
      <c r="H19" s="1">
        <v>544000</v>
      </c>
      <c r="I19" s="1">
        <v>0</v>
      </c>
      <c r="J19" s="1">
        <v>1800</v>
      </c>
      <c r="K19" s="1">
        <v>124483.33333333333</v>
      </c>
      <c r="L19" s="1">
        <v>15000</v>
      </c>
      <c r="M19" s="1">
        <v>0</v>
      </c>
      <c r="N19" s="1">
        <v>172960.87645333333</v>
      </c>
      <c r="O19" s="1">
        <v>10000</v>
      </c>
      <c r="P19" s="1">
        <v>316936.7535466667</v>
      </c>
    </row>
    <row r="20" spans="1:16" x14ac:dyDescent="0.25">
      <c r="A20" s="1" t="s">
        <v>175</v>
      </c>
      <c r="B20" s="1" t="s">
        <v>180</v>
      </c>
      <c r="C20" s="1">
        <v>240062.05000000002</v>
      </c>
      <c r="D20" s="1">
        <v>240062.05000000002</v>
      </c>
      <c r="E20" s="1">
        <v>20160</v>
      </c>
      <c r="F20" s="1">
        <v>5761.4892000000009</v>
      </c>
      <c r="G20" s="1">
        <v>240062.05000000002</v>
      </c>
      <c r="H20" s="1">
        <v>240000</v>
      </c>
      <c r="I20" s="1">
        <v>3000</v>
      </c>
      <c r="J20" s="1">
        <v>900</v>
      </c>
      <c r="K20" s="1">
        <v>23290</v>
      </c>
      <c r="L20" s="1">
        <v>0</v>
      </c>
      <c r="M20" s="1">
        <v>0</v>
      </c>
      <c r="N20" s="1">
        <v>53111.489199999996</v>
      </c>
      <c r="O20" s="1">
        <v>0</v>
      </c>
      <c r="P20" s="1">
        <v>186950.56080000004</v>
      </c>
    </row>
    <row r="21" spans="1:16" x14ac:dyDescent="0.25">
      <c r="A21" s="1" t="s">
        <v>181</v>
      </c>
      <c r="B21" s="1" t="s">
        <v>185</v>
      </c>
      <c r="C21" s="1">
        <v>350126.60000000003</v>
      </c>
      <c r="D21" s="1">
        <v>361034.60000000003</v>
      </c>
      <c r="E21" s="1">
        <v>20160</v>
      </c>
      <c r="F21" s="1">
        <v>8664.8304000000007</v>
      </c>
      <c r="G21" s="1">
        <v>361034.60000000003</v>
      </c>
      <c r="H21" s="1">
        <v>361000</v>
      </c>
      <c r="I21" s="1">
        <v>2500</v>
      </c>
      <c r="J21" s="1">
        <v>900</v>
      </c>
      <c r="K21" s="1">
        <v>47100</v>
      </c>
      <c r="L21" s="1">
        <v>0</v>
      </c>
      <c r="M21" s="1">
        <v>0</v>
      </c>
      <c r="N21" s="1">
        <v>79324.830400000006</v>
      </c>
      <c r="O21" s="1">
        <v>0</v>
      </c>
      <c r="P21" s="1">
        <v>281709.7696</v>
      </c>
    </row>
    <row r="22" spans="1:16" x14ac:dyDescent="0.25">
      <c r="A22" s="1" t="s">
        <v>186</v>
      </c>
      <c r="B22" s="1" t="s">
        <v>190</v>
      </c>
      <c r="C22" s="1">
        <v>350126.60000000003</v>
      </c>
      <c r="D22" s="1">
        <v>376790.60000000003</v>
      </c>
      <c r="E22" s="1">
        <v>20160</v>
      </c>
      <c r="F22" s="1">
        <v>9042.974400000001</v>
      </c>
      <c r="G22" s="1">
        <v>376790.60000000003</v>
      </c>
      <c r="H22" s="1">
        <v>376000</v>
      </c>
      <c r="I22" s="1">
        <v>0</v>
      </c>
      <c r="J22" s="1">
        <v>2700</v>
      </c>
      <c r="K22" s="1">
        <v>40380</v>
      </c>
      <c r="L22" s="1">
        <v>0</v>
      </c>
      <c r="M22" s="1">
        <v>0</v>
      </c>
      <c r="N22" s="1">
        <v>72282.974400000006</v>
      </c>
      <c r="O22" s="1">
        <v>0</v>
      </c>
      <c r="P22" s="1">
        <v>304507.62560000003</v>
      </c>
    </row>
    <row r="23" spans="1:16" x14ac:dyDescent="0.25">
      <c r="A23" s="1" t="s">
        <v>191</v>
      </c>
      <c r="B23" s="1" t="s">
        <v>194</v>
      </c>
      <c r="C23" s="1">
        <v>350126.60000000003</v>
      </c>
      <c r="D23" s="1">
        <v>360126.60000000003</v>
      </c>
      <c r="E23" s="1">
        <v>20160</v>
      </c>
      <c r="F23" s="1">
        <v>8643.0384000000013</v>
      </c>
      <c r="G23" s="1">
        <v>360126.60000000003</v>
      </c>
      <c r="H23" s="1">
        <v>360000</v>
      </c>
      <c r="I23" s="1">
        <v>0</v>
      </c>
      <c r="J23" s="1">
        <v>900</v>
      </c>
      <c r="K23" s="1">
        <v>46875</v>
      </c>
      <c r="L23" s="1">
        <v>0</v>
      </c>
      <c r="M23" s="1">
        <v>0</v>
      </c>
      <c r="N23" s="1">
        <v>76578.038400000005</v>
      </c>
      <c r="O23" s="1">
        <v>10000</v>
      </c>
      <c r="P23" s="1">
        <v>293548.56160000002</v>
      </c>
    </row>
    <row r="24" spans="1:16" x14ac:dyDescent="0.25">
      <c r="A24" s="1" t="s">
        <v>195</v>
      </c>
      <c r="B24" s="1" t="s">
        <v>199</v>
      </c>
      <c r="C24" s="1">
        <v>240062.05000000002</v>
      </c>
      <c r="D24" s="1">
        <v>246710.05000000002</v>
      </c>
      <c r="E24" s="1">
        <v>20160</v>
      </c>
      <c r="F24" s="1">
        <v>5921.0412000000006</v>
      </c>
      <c r="G24" s="1">
        <v>296710.05000000005</v>
      </c>
      <c r="H24" s="1">
        <v>296000</v>
      </c>
      <c r="I24" s="1">
        <v>0</v>
      </c>
      <c r="J24" s="1">
        <v>2700</v>
      </c>
      <c r="K24" s="1">
        <v>43300</v>
      </c>
      <c r="L24" s="1">
        <v>0</v>
      </c>
      <c r="M24" s="1">
        <v>0</v>
      </c>
      <c r="N24" s="1">
        <v>72081.041200000007</v>
      </c>
      <c r="O24" s="1">
        <v>0</v>
      </c>
      <c r="P24" s="1">
        <v>174629.00880000001</v>
      </c>
    </row>
    <row r="25" spans="1:16" x14ac:dyDescent="0.25">
      <c r="A25" s="1" t="s">
        <v>200</v>
      </c>
      <c r="B25" s="1" t="s">
        <v>205</v>
      </c>
      <c r="C25" s="1">
        <v>240062.05000000002</v>
      </c>
      <c r="D25" s="1">
        <v>265851.05000000005</v>
      </c>
      <c r="E25" s="1">
        <v>20160</v>
      </c>
      <c r="F25" s="1">
        <v>6380.4252000000015</v>
      </c>
      <c r="G25" s="1">
        <v>265851.05000000005</v>
      </c>
      <c r="H25" s="1">
        <v>265000</v>
      </c>
      <c r="I25" s="1">
        <v>2500</v>
      </c>
      <c r="J25" s="1">
        <v>900</v>
      </c>
      <c r="K25" s="1">
        <v>34000</v>
      </c>
      <c r="L25" s="1">
        <v>0</v>
      </c>
      <c r="M25" s="1">
        <v>0</v>
      </c>
      <c r="N25" s="1">
        <v>63940.425199999998</v>
      </c>
      <c r="O25" s="1">
        <v>10000</v>
      </c>
      <c r="P25" s="1">
        <v>211910.62480000005</v>
      </c>
    </row>
    <row r="26" spans="1:16" x14ac:dyDescent="0.25">
      <c r="A26" s="1" t="s">
        <v>206</v>
      </c>
      <c r="B26" s="1" t="s">
        <v>210</v>
      </c>
      <c r="C26" s="1">
        <v>240062.05000000002</v>
      </c>
      <c r="D26" s="1">
        <v>247818.05000000002</v>
      </c>
      <c r="E26" s="1">
        <v>20160</v>
      </c>
      <c r="F26" s="1">
        <v>5947.6332000000002</v>
      </c>
      <c r="G26" s="1">
        <v>247818.05000000002</v>
      </c>
      <c r="H26" s="1">
        <v>247000</v>
      </c>
      <c r="I26" s="1">
        <v>3000</v>
      </c>
      <c r="J26" s="1">
        <v>900</v>
      </c>
      <c r="K26" s="1">
        <v>28870</v>
      </c>
      <c r="L26" s="1">
        <v>30000</v>
      </c>
      <c r="M26" s="1">
        <v>0</v>
      </c>
      <c r="N26" s="1">
        <v>88877.633199999997</v>
      </c>
      <c r="O26" s="1">
        <v>0</v>
      </c>
      <c r="P26" s="1">
        <v>158940.41680000001</v>
      </c>
    </row>
    <row r="27" spans="1:16" x14ac:dyDescent="0.25">
      <c r="A27" s="1" t="s">
        <v>211</v>
      </c>
      <c r="B27" s="1" t="s">
        <v>216</v>
      </c>
      <c r="C27" s="1">
        <v>240062.05000000002</v>
      </c>
      <c r="D27" s="1">
        <v>260560.05000000002</v>
      </c>
      <c r="E27" s="1">
        <v>20160</v>
      </c>
      <c r="F27" s="1">
        <v>6253.4412000000002</v>
      </c>
      <c r="G27" s="1">
        <v>260560.05000000002</v>
      </c>
      <c r="H27" s="1">
        <v>260000</v>
      </c>
      <c r="I27" s="1">
        <v>0</v>
      </c>
      <c r="J27" s="1">
        <v>900</v>
      </c>
      <c r="K27" s="1">
        <v>32500</v>
      </c>
      <c r="L27" s="1">
        <v>0</v>
      </c>
      <c r="M27" s="1">
        <v>0</v>
      </c>
      <c r="N27" s="1">
        <v>59813.441200000001</v>
      </c>
      <c r="O27" s="1">
        <v>0</v>
      </c>
      <c r="P27" s="1">
        <v>200746.60880000002</v>
      </c>
    </row>
    <row r="28" spans="1:16" x14ac:dyDescent="0.25">
      <c r="A28" s="1" t="s">
        <v>217</v>
      </c>
      <c r="B28" s="1" t="s">
        <v>221</v>
      </c>
      <c r="C28" s="1">
        <v>469897.63000000006</v>
      </c>
      <c r="D28" s="1">
        <v>469897.63000000006</v>
      </c>
      <c r="E28" s="1">
        <v>20160</v>
      </c>
      <c r="F28" s="1">
        <v>11277.543120000002</v>
      </c>
      <c r="G28" s="1">
        <v>484897.63000000006</v>
      </c>
      <c r="H28" s="1">
        <v>484000</v>
      </c>
      <c r="I28" s="1">
        <v>3000</v>
      </c>
      <c r="J28" s="1">
        <v>900</v>
      </c>
      <c r="K28" s="1">
        <v>103483.33333333333</v>
      </c>
      <c r="L28" s="1">
        <v>0</v>
      </c>
      <c r="M28" s="1">
        <v>0</v>
      </c>
      <c r="N28" s="1">
        <v>138820.87645333333</v>
      </c>
      <c r="O28" s="1">
        <v>0</v>
      </c>
      <c r="P28" s="1">
        <v>331076.7535466667</v>
      </c>
    </row>
    <row r="29" spans="1:16" x14ac:dyDescent="0.25">
      <c r="A29" s="1" t="s">
        <v>222</v>
      </c>
      <c r="B29" s="1" t="s">
        <v>226</v>
      </c>
      <c r="C29" s="1">
        <v>350126.60000000003</v>
      </c>
      <c r="D29" s="1">
        <v>358206.60000000003</v>
      </c>
      <c r="E29" s="1">
        <v>20160</v>
      </c>
      <c r="F29" s="1">
        <v>8596.9584000000013</v>
      </c>
      <c r="G29" s="1">
        <v>358206.60000000003</v>
      </c>
      <c r="H29" s="1">
        <v>358000</v>
      </c>
      <c r="I29" s="1">
        <v>2500</v>
      </c>
      <c r="J29" s="1">
        <v>900</v>
      </c>
      <c r="K29" s="1">
        <v>61900</v>
      </c>
      <c r="L29" s="1">
        <v>0</v>
      </c>
      <c r="M29" s="1">
        <v>0</v>
      </c>
      <c r="N29" s="1">
        <v>94056.958400000003</v>
      </c>
      <c r="O29" s="1">
        <v>0</v>
      </c>
      <c r="P29" s="1">
        <v>264149.64160000003</v>
      </c>
    </row>
    <row r="30" spans="1:16" x14ac:dyDescent="0.25">
      <c r="A30" s="1" t="s">
        <v>227</v>
      </c>
      <c r="B30" s="1" t="s">
        <v>231</v>
      </c>
      <c r="C30" s="1">
        <v>469897.63000000006</v>
      </c>
      <c r="D30" s="1">
        <v>479897.63000000006</v>
      </c>
      <c r="E30" s="1">
        <v>20160</v>
      </c>
      <c r="F30" s="1">
        <v>11517.543120000002</v>
      </c>
      <c r="G30" s="1">
        <v>497397.63000000006</v>
      </c>
      <c r="H30" s="1">
        <v>497000</v>
      </c>
      <c r="I30" s="1">
        <v>0</v>
      </c>
      <c r="J30" s="1">
        <v>900</v>
      </c>
      <c r="K30" s="1">
        <v>108033.33333333333</v>
      </c>
      <c r="L30" s="1">
        <v>0</v>
      </c>
      <c r="M30" s="1">
        <v>0</v>
      </c>
      <c r="N30" s="1">
        <v>140610.87645333333</v>
      </c>
      <c r="O30" s="1">
        <v>10000</v>
      </c>
      <c r="P30" s="1">
        <v>349286.7535466667</v>
      </c>
    </row>
    <row r="31" spans="1:16" x14ac:dyDescent="0.25">
      <c r="A31" s="1" t="s">
        <v>232</v>
      </c>
      <c r="B31" s="1" t="s">
        <v>237</v>
      </c>
      <c r="C31" s="1">
        <v>469897.63000000006</v>
      </c>
      <c r="D31" s="1">
        <v>477897.63000000006</v>
      </c>
      <c r="E31" s="1">
        <v>20160</v>
      </c>
      <c r="F31" s="1">
        <v>11469.543120000002</v>
      </c>
      <c r="G31" s="1">
        <v>477897.63000000006</v>
      </c>
      <c r="H31" s="1">
        <v>477000</v>
      </c>
      <c r="I31" s="1">
        <v>3000</v>
      </c>
      <c r="J31" s="1">
        <v>2700</v>
      </c>
      <c r="K31" s="1">
        <v>101033.33333333333</v>
      </c>
      <c r="L31" s="1">
        <v>12500</v>
      </c>
      <c r="M31" s="1">
        <v>0</v>
      </c>
      <c r="N31" s="1">
        <v>150862.87645333333</v>
      </c>
      <c r="O31" s="1">
        <v>8000</v>
      </c>
      <c r="P31" s="1">
        <v>335034.7535466667</v>
      </c>
    </row>
    <row r="32" spans="1:16" x14ac:dyDescent="0.25">
      <c r="A32" s="1" t="s">
        <v>238</v>
      </c>
      <c r="B32" s="1" t="s">
        <v>242</v>
      </c>
      <c r="C32" s="1">
        <v>469897.63000000006</v>
      </c>
      <c r="D32" s="1">
        <v>469897.63000000006</v>
      </c>
      <c r="E32" s="1">
        <v>20160</v>
      </c>
      <c r="F32" s="1">
        <v>11277.543120000002</v>
      </c>
      <c r="G32" s="1">
        <v>479897.63000000006</v>
      </c>
      <c r="H32" s="1">
        <v>479000</v>
      </c>
      <c r="I32" s="1">
        <v>0</v>
      </c>
      <c r="J32" s="1">
        <v>900</v>
      </c>
      <c r="K32" s="1">
        <v>66126.666666666672</v>
      </c>
      <c r="L32" s="1">
        <v>0</v>
      </c>
      <c r="M32" s="1">
        <v>0</v>
      </c>
      <c r="N32" s="1">
        <v>98464.209786666674</v>
      </c>
      <c r="O32" s="1">
        <v>0</v>
      </c>
      <c r="P32" s="1">
        <v>371433.42021333339</v>
      </c>
    </row>
    <row r="33" spans="1:16" x14ac:dyDescent="0.25">
      <c r="A33" s="1" t="s">
        <v>243</v>
      </c>
      <c r="B33" s="1" t="s">
        <v>247</v>
      </c>
      <c r="C33" s="1">
        <v>350126.60000000003</v>
      </c>
      <c r="D33" s="1">
        <v>352550.60000000003</v>
      </c>
      <c r="E33" s="1">
        <v>20160</v>
      </c>
      <c r="F33" s="1">
        <v>8461.2144000000008</v>
      </c>
      <c r="G33" s="1">
        <v>352550.60000000003</v>
      </c>
      <c r="H33" s="1">
        <v>352000</v>
      </c>
      <c r="I33" s="1">
        <v>3000</v>
      </c>
      <c r="J33" s="1">
        <v>900</v>
      </c>
      <c r="K33" s="1">
        <v>45075</v>
      </c>
      <c r="L33" s="1">
        <v>0</v>
      </c>
      <c r="M33" s="1">
        <v>0</v>
      </c>
      <c r="N33" s="1">
        <v>77596.214399999997</v>
      </c>
      <c r="O33" s="1">
        <v>0</v>
      </c>
      <c r="P33" s="1">
        <v>274954.38560000004</v>
      </c>
    </row>
    <row r="34" spans="1:16" x14ac:dyDescent="0.25">
      <c r="A34" s="1" t="s">
        <v>248</v>
      </c>
      <c r="B34" s="1" t="s">
        <v>252</v>
      </c>
      <c r="C34" s="1">
        <v>350126.60000000003</v>
      </c>
      <c r="D34" s="1">
        <v>350126.60000000003</v>
      </c>
      <c r="E34" s="1">
        <v>20160</v>
      </c>
      <c r="F34" s="1">
        <v>8403.0384000000013</v>
      </c>
      <c r="G34" s="1">
        <v>350126.60000000003</v>
      </c>
      <c r="H34" s="1">
        <v>350000</v>
      </c>
      <c r="I34" s="1">
        <v>3000</v>
      </c>
      <c r="J34" s="1">
        <v>900</v>
      </c>
      <c r="K34" s="1">
        <v>41650</v>
      </c>
      <c r="L34" s="1">
        <v>0</v>
      </c>
      <c r="M34" s="1">
        <v>0</v>
      </c>
      <c r="N34" s="1">
        <v>74113.038400000005</v>
      </c>
      <c r="O34" s="1">
        <v>0</v>
      </c>
      <c r="P34" s="1">
        <v>276013.56160000002</v>
      </c>
    </row>
    <row r="35" spans="1:16" x14ac:dyDescent="0.25">
      <c r="A35" s="1" t="s">
        <v>253</v>
      </c>
      <c r="B35" s="1" t="s">
        <v>257</v>
      </c>
      <c r="C35" s="1">
        <v>350126.60000000003</v>
      </c>
      <c r="D35" s="1">
        <v>352550.60000000003</v>
      </c>
      <c r="E35" s="1">
        <v>20160</v>
      </c>
      <c r="F35" s="1">
        <v>8461.2144000000008</v>
      </c>
      <c r="G35" s="1">
        <v>367050.60000000003</v>
      </c>
      <c r="H35" s="1">
        <v>367000</v>
      </c>
      <c r="I35" s="1">
        <v>0</v>
      </c>
      <c r="J35" s="1">
        <v>900</v>
      </c>
      <c r="K35" s="1">
        <v>51680</v>
      </c>
      <c r="L35" s="1">
        <v>10000</v>
      </c>
      <c r="M35" s="1">
        <v>0</v>
      </c>
      <c r="N35" s="1">
        <v>91201.214399999997</v>
      </c>
      <c r="O35" s="1">
        <v>0</v>
      </c>
      <c r="P35" s="1">
        <v>261349.38560000004</v>
      </c>
    </row>
    <row r="36" spans="1:16" x14ac:dyDescent="0.25">
      <c r="A36" s="1" t="s">
        <v>258</v>
      </c>
      <c r="B36" s="1" t="s">
        <v>263</v>
      </c>
      <c r="C36" s="1">
        <v>350126.60000000003</v>
      </c>
      <c r="D36" s="1">
        <v>350126.60000000003</v>
      </c>
      <c r="E36" s="1">
        <v>20160</v>
      </c>
      <c r="F36" s="1">
        <v>8403.0384000000013</v>
      </c>
      <c r="G36" s="1">
        <v>350126.60000000003</v>
      </c>
      <c r="H36" s="1">
        <v>350000</v>
      </c>
      <c r="I36" s="1">
        <v>0</v>
      </c>
      <c r="J36" s="1">
        <v>1800</v>
      </c>
      <c r="K36" s="1">
        <v>38675</v>
      </c>
      <c r="L36" s="1">
        <v>0</v>
      </c>
      <c r="M36" s="1">
        <v>0</v>
      </c>
      <c r="N36" s="1">
        <v>69038.038400000005</v>
      </c>
      <c r="O36" s="1">
        <v>0</v>
      </c>
      <c r="P36" s="1">
        <v>281088.56160000002</v>
      </c>
    </row>
    <row r="37" spans="1:16" x14ac:dyDescent="0.25">
      <c r="A37" s="1" t="s">
        <v>264</v>
      </c>
      <c r="B37" s="1" t="s">
        <v>269</v>
      </c>
      <c r="C37" s="1">
        <v>350126.60000000003</v>
      </c>
      <c r="D37" s="1">
        <v>350126.60000000003</v>
      </c>
      <c r="E37" s="1">
        <v>20160</v>
      </c>
      <c r="F37" s="1">
        <v>8403.0384000000013</v>
      </c>
      <c r="G37" s="1">
        <v>350126.60000000003</v>
      </c>
      <c r="H37" s="1">
        <v>350000</v>
      </c>
      <c r="I37" s="1">
        <v>0</v>
      </c>
      <c r="J37" s="1">
        <v>900</v>
      </c>
      <c r="K37" s="1">
        <v>35700</v>
      </c>
      <c r="L37" s="1">
        <v>13000</v>
      </c>
      <c r="M37" s="1">
        <v>0</v>
      </c>
      <c r="N37" s="1">
        <v>78163.038400000005</v>
      </c>
      <c r="O37" s="1">
        <v>0</v>
      </c>
      <c r="P37" s="1">
        <v>271963.56160000002</v>
      </c>
    </row>
    <row r="38" spans="1:16" x14ac:dyDescent="0.25">
      <c r="A38" s="1" t="s">
        <v>270</v>
      </c>
      <c r="B38" s="1" t="s">
        <v>272</v>
      </c>
      <c r="C38" s="1">
        <v>240062.05000000002</v>
      </c>
      <c r="D38" s="1">
        <v>240062.05000000002</v>
      </c>
      <c r="E38" s="1">
        <v>20160</v>
      </c>
      <c r="F38" s="1">
        <v>5761.4892000000009</v>
      </c>
      <c r="G38" s="1">
        <v>240062.05000000002</v>
      </c>
      <c r="H38" s="1">
        <v>240000</v>
      </c>
      <c r="I38" s="1">
        <v>3000</v>
      </c>
      <c r="J38" s="1">
        <v>900</v>
      </c>
      <c r="K38" s="1">
        <v>27400</v>
      </c>
      <c r="L38" s="1">
        <v>0</v>
      </c>
      <c r="M38" s="1">
        <v>0</v>
      </c>
      <c r="N38" s="1">
        <v>57221.489199999996</v>
      </c>
      <c r="O38" s="1">
        <v>0</v>
      </c>
      <c r="P38" s="1">
        <v>182840.56080000004</v>
      </c>
    </row>
    <row r="39" spans="1:16" x14ac:dyDescent="0.25">
      <c r="A39" s="1" t="s">
        <v>273</v>
      </c>
      <c r="B39" s="1" t="s">
        <v>277</v>
      </c>
      <c r="C39" s="1">
        <v>469897.63000000006</v>
      </c>
      <c r="D39" s="1">
        <v>469897.63000000006</v>
      </c>
      <c r="E39" s="1">
        <v>20160</v>
      </c>
      <c r="F39" s="1">
        <v>11277.543120000002</v>
      </c>
      <c r="G39" s="1">
        <v>479897.63000000006</v>
      </c>
      <c r="H39" s="1">
        <v>479000</v>
      </c>
      <c r="I39" s="1">
        <v>0</v>
      </c>
      <c r="J39" s="1">
        <v>900</v>
      </c>
      <c r="K39" s="1">
        <v>101733.33333333333</v>
      </c>
      <c r="L39" s="1">
        <v>10000</v>
      </c>
      <c r="M39" s="1">
        <v>0</v>
      </c>
      <c r="N39" s="1">
        <v>144070.87645333333</v>
      </c>
      <c r="O39" s="1">
        <v>0</v>
      </c>
      <c r="P39" s="1">
        <v>325826.7535466667</v>
      </c>
    </row>
    <row r="40" spans="1:16" x14ac:dyDescent="0.25">
      <c r="A40" s="1" t="s">
        <v>278</v>
      </c>
      <c r="B40" s="1" t="s">
        <v>282</v>
      </c>
      <c r="C40" s="1">
        <v>240062.05000000002</v>
      </c>
      <c r="D40" s="1">
        <v>240062.05000000002</v>
      </c>
      <c r="E40" s="1">
        <v>20160</v>
      </c>
      <c r="F40" s="1">
        <v>5761.4892000000009</v>
      </c>
      <c r="G40" s="1">
        <v>240062.05000000002</v>
      </c>
      <c r="H40" s="1">
        <v>240000</v>
      </c>
      <c r="I40" s="1">
        <v>0</v>
      </c>
      <c r="J40" s="1">
        <v>900</v>
      </c>
      <c r="K40" s="1">
        <v>27400</v>
      </c>
      <c r="L40" s="1">
        <v>0</v>
      </c>
      <c r="M40" s="1">
        <v>0</v>
      </c>
      <c r="N40" s="1">
        <v>54221.489199999996</v>
      </c>
      <c r="O40" s="1">
        <v>0</v>
      </c>
      <c r="P40" s="1">
        <v>185840.56080000004</v>
      </c>
    </row>
    <row r="41" spans="1:16" x14ac:dyDescent="0.25">
      <c r="A41" s="1" t="s">
        <v>283</v>
      </c>
      <c r="B41" s="1" t="s">
        <v>286</v>
      </c>
      <c r="C41" s="1">
        <v>240062.05000000002</v>
      </c>
      <c r="D41" s="1">
        <v>251419.05000000002</v>
      </c>
      <c r="E41" s="1">
        <v>20160</v>
      </c>
      <c r="F41" s="1">
        <v>6034.0572000000002</v>
      </c>
      <c r="G41" s="1">
        <v>251419.05000000002</v>
      </c>
      <c r="H41" s="1">
        <v>251000</v>
      </c>
      <c r="I41" s="1">
        <v>5000</v>
      </c>
      <c r="J41" s="1">
        <v>900</v>
      </c>
      <c r="K41" s="1">
        <v>29800</v>
      </c>
      <c r="L41" s="1">
        <v>0</v>
      </c>
      <c r="M41" s="1">
        <v>0</v>
      </c>
      <c r="N41" s="1">
        <v>61894.057199999996</v>
      </c>
      <c r="O41" s="1">
        <v>0</v>
      </c>
      <c r="P41" s="1">
        <v>189524.99280000001</v>
      </c>
    </row>
    <row r="42" spans="1:16" x14ac:dyDescent="0.25">
      <c r="A42" s="1" t="s">
        <v>287</v>
      </c>
      <c r="B42" s="1" t="s">
        <v>291</v>
      </c>
      <c r="C42" s="1">
        <v>469897.63000000006</v>
      </c>
      <c r="D42" s="1">
        <v>469897.63000000006</v>
      </c>
      <c r="E42" s="1">
        <v>20160</v>
      </c>
      <c r="F42" s="1">
        <v>11277.543120000002</v>
      </c>
      <c r="G42" s="1">
        <v>524897.63000000012</v>
      </c>
      <c r="H42" s="1">
        <v>524000</v>
      </c>
      <c r="I42" s="1">
        <v>2500</v>
      </c>
      <c r="J42" s="1">
        <v>900</v>
      </c>
      <c r="K42" s="1">
        <v>117483.33333333333</v>
      </c>
      <c r="L42" s="1">
        <v>0</v>
      </c>
      <c r="M42" s="1">
        <v>30000</v>
      </c>
      <c r="N42" s="1">
        <v>182320.87645333333</v>
      </c>
      <c r="O42" s="1">
        <v>0</v>
      </c>
      <c r="P42" s="1">
        <v>287576.7535466667</v>
      </c>
    </row>
    <row r="43" spans="1:16" x14ac:dyDescent="0.25">
      <c r="A43" s="1" t="s">
        <v>292</v>
      </c>
      <c r="B43" s="1" t="s">
        <v>297</v>
      </c>
      <c r="C43" s="1">
        <v>240062.05000000002</v>
      </c>
      <c r="D43" s="1">
        <v>240062.05000000002</v>
      </c>
      <c r="E43" s="1">
        <v>20160</v>
      </c>
      <c r="F43" s="1">
        <v>5761.4892000000009</v>
      </c>
      <c r="G43" s="1">
        <v>240062.05000000002</v>
      </c>
      <c r="H43" s="1">
        <v>240000</v>
      </c>
      <c r="I43" s="1">
        <v>0</v>
      </c>
      <c r="J43" s="1">
        <v>1800</v>
      </c>
      <c r="K43" s="1">
        <v>27400</v>
      </c>
      <c r="L43" s="1">
        <v>10000</v>
      </c>
      <c r="M43" s="1">
        <v>0</v>
      </c>
      <c r="N43" s="1">
        <v>65121.489199999996</v>
      </c>
      <c r="O43" s="1">
        <v>0</v>
      </c>
      <c r="P43" s="1">
        <v>174940.56080000004</v>
      </c>
    </row>
    <row r="44" spans="1:16" x14ac:dyDescent="0.25">
      <c r="A44" s="1" t="s">
        <v>298</v>
      </c>
      <c r="B44" s="1" t="s">
        <v>303</v>
      </c>
      <c r="C44" s="1">
        <v>240062.05000000002</v>
      </c>
      <c r="D44" s="1">
        <v>251419.05000000002</v>
      </c>
      <c r="E44" s="1">
        <v>20160</v>
      </c>
      <c r="F44" s="1">
        <v>6034.0572000000002</v>
      </c>
      <c r="G44" s="1">
        <v>251419.05000000002</v>
      </c>
      <c r="H44" s="1">
        <v>251000</v>
      </c>
      <c r="I44" s="1">
        <v>0</v>
      </c>
      <c r="J44" s="1">
        <v>1800</v>
      </c>
      <c r="K44" s="1">
        <v>23840</v>
      </c>
      <c r="L44" s="1">
        <v>15000</v>
      </c>
      <c r="M44" s="1">
        <v>0</v>
      </c>
      <c r="N44" s="1">
        <v>66834.057199999996</v>
      </c>
      <c r="O44" s="1">
        <v>0</v>
      </c>
      <c r="P44" s="1">
        <v>184584.99280000001</v>
      </c>
    </row>
    <row r="45" spans="1:16" x14ac:dyDescent="0.25">
      <c r="A45" s="1" t="s">
        <v>304</v>
      </c>
      <c r="B45" s="1" t="s">
        <v>307</v>
      </c>
      <c r="C45" s="1">
        <v>350126.60000000003</v>
      </c>
      <c r="D45" s="1">
        <v>358626.60000000003</v>
      </c>
      <c r="E45" s="1">
        <v>20160</v>
      </c>
      <c r="F45" s="1">
        <v>8607.0384000000013</v>
      </c>
      <c r="G45" s="1">
        <v>358626.60000000003</v>
      </c>
      <c r="H45" s="1">
        <v>358000</v>
      </c>
      <c r="I45" s="1">
        <v>2500</v>
      </c>
      <c r="J45" s="1">
        <v>900</v>
      </c>
      <c r="K45" s="1">
        <v>61900</v>
      </c>
      <c r="L45" s="1">
        <v>0</v>
      </c>
      <c r="M45" s="1">
        <v>0</v>
      </c>
      <c r="N45" s="1">
        <v>94067.038400000005</v>
      </c>
      <c r="O45" s="1">
        <v>8500</v>
      </c>
      <c r="P45" s="1">
        <v>273059.56160000002</v>
      </c>
    </row>
    <row r="46" spans="1:16" x14ac:dyDescent="0.25">
      <c r="A46" s="1" t="s">
        <v>308</v>
      </c>
      <c r="B46" s="1" t="s">
        <v>313</v>
      </c>
      <c r="C46" s="1">
        <v>350126.60000000003</v>
      </c>
      <c r="D46" s="1">
        <v>350126.60000000003</v>
      </c>
      <c r="E46" s="1">
        <v>20160</v>
      </c>
      <c r="F46" s="1">
        <v>8403.0384000000013</v>
      </c>
      <c r="G46" s="1">
        <v>381626.60000000003</v>
      </c>
      <c r="H46" s="1">
        <v>381000</v>
      </c>
      <c r="I46" s="1">
        <v>0</v>
      </c>
      <c r="J46" s="1">
        <v>900</v>
      </c>
      <c r="K46" s="1">
        <v>55040</v>
      </c>
      <c r="L46" s="1">
        <v>0</v>
      </c>
      <c r="M46" s="1">
        <v>0</v>
      </c>
      <c r="N46" s="1">
        <v>84503.038400000005</v>
      </c>
      <c r="O46" s="1">
        <v>0</v>
      </c>
      <c r="P46" s="1">
        <v>265623.56160000002</v>
      </c>
    </row>
    <row r="47" spans="1:16" x14ac:dyDescent="0.25">
      <c r="A47" s="1" t="s">
        <v>314</v>
      </c>
      <c r="B47" s="1" t="s">
        <v>318</v>
      </c>
      <c r="C47" s="1">
        <v>350126.60000000003</v>
      </c>
      <c r="D47" s="1">
        <v>366690.60000000003</v>
      </c>
      <c r="E47" s="1">
        <v>20160</v>
      </c>
      <c r="F47" s="1">
        <v>8800.5744000000013</v>
      </c>
      <c r="G47" s="1">
        <v>366690.60000000003</v>
      </c>
      <c r="H47" s="1">
        <v>366000</v>
      </c>
      <c r="I47" s="1">
        <v>0</v>
      </c>
      <c r="J47" s="1">
        <v>900</v>
      </c>
      <c r="K47" s="1">
        <v>64300</v>
      </c>
      <c r="L47" s="1">
        <v>15000</v>
      </c>
      <c r="M47" s="1">
        <v>0</v>
      </c>
      <c r="N47" s="1">
        <v>109160.5744</v>
      </c>
      <c r="O47" s="1">
        <v>0</v>
      </c>
      <c r="P47" s="1">
        <v>257530.02560000005</v>
      </c>
    </row>
    <row r="48" spans="1:16" x14ac:dyDescent="0.25">
      <c r="A48" s="1" t="s">
        <v>319</v>
      </c>
      <c r="B48" s="1" t="s">
        <v>324</v>
      </c>
      <c r="C48" s="1">
        <v>350126.60000000003</v>
      </c>
      <c r="D48" s="1">
        <v>366690.60000000003</v>
      </c>
      <c r="E48" s="1">
        <v>20160</v>
      </c>
      <c r="F48" s="1">
        <v>8800.5744000000013</v>
      </c>
      <c r="G48" s="1">
        <v>366690.60000000003</v>
      </c>
      <c r="H48" s="1">
        <v>366000</v>
      </c>
      <c r="I48" s="1">
        <v>0</v>
      </c>
      <c r="J48" s="1">
        <v>2700</v>
      </c>
      <c r="K48" s="1">
        <v>64300</v>
      </c>
      <c r="L48" s="1">
        <v>0</v>
      </c>
      <c r="M48" s="1">
        <v>0</v>
      </c>
      <c r="N48" s="1">
        <v>95960.574399999998</v>
      </c>
      <c r="O48" s="1">
        <v>0</v>
      </c>
      <c r="P48" s="1">
        <v>270730.02560000005</v>
      </c>
    </row>
    <row r="49" spans="1:16" x14ac:dyDescent="0.25">
      <c r="A49" s="1" t="s">
        <v>325</v>
      </c>
      <c r="B49" s="1" t="s">
        <v>328</v>
      </c>
      <c r="C49" s="1">
        <v>350126.60000000003</v>
      </c>
      <c r="D49" s="1">
        <v>355126.60000000003</v>
      </c>
      <c r="E49" s="1">
        <v>20160</v>
      </c>
      <c r="F49" s="1">
        <v>8523.0384000000013</v>
      </c>
      <c r="G49" s="1">
        <v>355126.60000000003</v>
      </c>
      <c r="H49" s="1">
        <v>355000</v>
      </c>
      <c r="I49" s="1">
        <v>3000</v>
      </c>
      <c r="J49" s="1">
        <v>900</v>
      </c>
      <c r="K49" s="1">
        <v>48800</v>
      </c>
      <c r="L49" s="1">
        <v>14500</v>
      </c>
      <c r="M49" s="1">
        <v>0</v>
      </c>
      <c r="N49" s="1">
        <v>95883.038400000005</v>
      </c>
      <c r="O49" s="1">
        <v>5000</v>
      </c>
      <c r="P49" s="1">
        <v>264243.56160000002</v>
      </c>
    </row>
    <row r="50" spans="1:16" x14ac:dyDescent="0.25">
      <c r="A50" s="1" t="s">
        <v>329</v>
      </c>
      <c r="B50" s="1" t="s">
        <v>333</v>
      </c>
      <c r="C50" s="1">
        <v>350126.60000000003</v>
      </c>
      <c r="D50" s="1">
        <v>352550.60000000003</v>
      </c>
      <c r="E50" s="1">
        <v>20160</v>
      </c>
      <c r="F50" s="1">
        <v>8461.2144000000008</v>
      </c>
      <c r="G50" s="1">
        <v>352550.60000000003</v>
      </c>
      <c r="H50" s="1">
        <v>352000</v>
      </c>
      <c r="I50" s="1">
        <v>0</v>
      </c>
      <c r="J50" s="1">
        <v>1800</v>
      </c>
      <c r="K50" s="1">
        <v>36060</v>
      </c>
      <c r="L50" s="1">
        <v>0</v>
      </c>
      <c r="M50" s="1">
        <v>0</v>
      </c>
      <c r="N50" s="1">
        <v>66481.214399999997</v>
      </c>
      <c r="O50" s="1">
        <v>0</v>
      </c>
      <c r="P50" s="1">
        <v>286069.38560000004</v>
      </c>
    </row>
    <row r="51" spans="1:16" x14ac:dyDescent="0.25">
      <c r="A51" s="1" t="s">
        <v>334</v>
      </c>
      <c r="B51" s="1" t="s">
        <v>338</v>
      </c>
      <c r="C51" s="1">
        <v>350126.60000000003</v>
      </c>
      <c r="D51" s="1">
        <v>374902.60000000003</v>
      </c>
      <c r="E51" s="1">
        <v>20160</v>
      </c>
      <c r="F51" s="1">
        <v>8997.6624000000011</v>
      </c>
      <c r="G51" s="1">
        <v>374902.60000000003</v>
      </c>
      <c r="H51" s="1">
        <v>374000</v>
      </c>
      <c r="I51" s="1">
        <v>3000</v>
      </c>
      <c r="J51" s="1">
        <v>900</v>
      </c>
      <c r="K51" s="1">
        <v>66700</v>
      </c>
      <c r="L51" s="1">
        <v>13500</v>
      </c>
      <c r="M51" s="1">
        <v>0</v>
      </c>
      <c r="N51" s="1">
        <v>113257.6624</v>
      </c>
      <c r="O51" s="1">
        <v>7000</v>
      </c>
      <c r="P51" s="1">
        <v>268644.93760000006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J22"/>
  <sheetViews>
    <sheetView workbookViewId="0"/>
  </sheetViews>
  <sheetFormatPr baseColWidth="10" defaultRowHeight="15" x14ac:dyDescent="0.25"/>
  <cols>
    <col min="2" max="2" width="11.42578125" style="3"/>
    <col min="4" max="4" width="13" style="6" customWidth="1"/>
    <col min="5" max="5" width="13" customWidth="1"/>
    <col min="6" max="6" width="7.85546875" customWidth="1"/>
    <col min="7" max="7" width="11.42578125" style="8"/>
    <col min="8" max="8" width="11.42578125" style="10"/>
  </cols>
  <sheetData>
    <row r="1" spans="1:10" ht="15.75" x14ac:dyDescent="0.25">
      <c r="A1" s="5" t="s">
        <v>37</v>
      </c>
      <c r="G1" s="7" t="s">
        <v>47</v>
      </c>
      <c r="H1" s="9" t="s">
        <v>48</v>
      </c>
      <c r="I1" s="12"/>
      <c r="J1" s="12"/>
    </row>
    <row r="2" spans="1:10" x14ac:dyDescent="0.25">
      <c r="A2" s="4" t="s">
        <v>31</v>
      </c>
    </row>
    <row r="3" spans="1:10" x14ac:dyDescent="0.25">
      <c r="A3">
        <v>421</v>
      </c>
      <c r="C3" t="s">
        <v>33</v>
      </c>
      <c r="G3" s="8">
        <v>306000</v>
      </c>
    </row>
    <row r="4" spans="1:10" x14ac:dyDescent="0.25">
      <c r="B4" s="3" t="s">
        <v>32</v>
      </c>
      <c r="D4" s="6" t="s">
        <v>34</v>
      </c>
      <c r="H4" s="10">
        <v>306000</v>
      </c>
    </row>
    <row r="6" spans="1:10" x14ac:dyDescent="0.25">
      <c r="A6" s="4" t="s">
        <v>35</v>
      </c>
    </row>
    <row r="7" spans="1:10" x14ac:dyDescent="0.25">
      <c r="A7" t="s">
        <v>36</v>
      </c>
      <c r="C7" t="s">
        <v>38</v>
      </c>
      <c r="G7" s="8">
        <v>17386513.980000004</v>
      </c>
    </row>
    <row r="8" spans="1:10" x14ac:dyDescent="0.25">
      <c r="A8">
        <v>663</v>
      </c>
      <c r="C8" t="s">
        <v>39</v>
      </c>
      <c r="G8" s="8">
        <v>113500</v>
      </c>
    </row>
    <row r="9" spans="1:10" x14ac:dyDescent="0.25">
      <c r="B9" s="3">
        <v>422</v>
      </c>
      <c r="D9" s="6" t="s">
        <v>40</v>
      </c>
      <c r="H9" s="10">
        <v>17500013.980000004</v>
      </c>
    </row>
    <row r="11" spans="1:10" x14ac:dyDescent="0.25">
      <c r="A11">
        <v>422</v>
      </c>
      <c r="C11" t="s">
        <v>40</v>
      </c>
      <c r="G11" s="8">
        <v>4755386.3355200021</v>
      </c>
    </row>
    <row r="12" spans="1:10" x14ac:dyDescent="0.25">
      <c r="B12" s="3">
        <v>421</v>
      </c>
      <c r="D12" s="6" t="s">
        <v>33</v>
      </c>
      <c r="H12" s="10">
        <v>306000</v>
      </c>
    </row>
    <row r="13" spans="1:10" x14ac:dyDescent="0.25">
      <c r="B13" s="3">
        <v>4313</v>
      </c>
      <c r="D13" s="6" t="s">
        <v>41</v>
      </c>
      <c r="H13" s="10">
        <v>1008000</v>
      </c>
    </row>
    <row r="14" spans="1:10" x14ac:dyDescent="0.25">
      <c r="B14" s="3">
        <v>4314</v>
      </c>
      <c r="D14" s="6" t="s">
        <v>42</v>
      </c>
      <c r="H14" s="10">
        <v>417276.33552000008</v>
      </c>
    </row>
    <row r="15" spans="1:10" x14ac:dyDescent="0.25">
      <c r="B15" s="3">
        <v>4331</v>
      </c>
      <c r="D15" s="6" t="s">
        <v>43</v>
      </c>
      <c r="H15" s="10">
        <v>74500</v>
      </c>
    </row>
    <row r="16" spans="1:10" x14ac:dyDescent="0.25">
      <c r="B16" s="3">
        <v>447</v>
      </c>
      <c r="D16" s="6" t="s">
        <v>44</v>
      </c>
      <c r="H16" s="10">
        <v>2884610</v>
      </c>
    </row>
    <row r="17" spans="1:8" x14ac:dyDescent="0.25">
      <c r="B17" s="3">
        <v>423</v>
      </c>
      <c r="D17" s="6" t="s">
        <v>17</v>
      </c>
      <c r="H17" s="10">
        <v>65000</v>
      </c>
    </row>
    <row r="19" spans="1:8" x14ac:dyDescent="0.25">
      <c r="A19" s="4" t="s">
        <v>45</v>
      </c>
    </row>
    <row r="20" spans="1:8" x14ac:dyDescent="0.25">
      <c r="A20">
        <v>422</v>
      </c>
      <c r="C20" t="s">
        <v>46</v>
      </c>
      <c r="G20" s="8">
        <v>12744627.644479992</v>
      </c>
    </row>
    <row r="21" spans="1:8" x14ac:dyDescent="0.25">
      <c r="A21">
        <v>423</v>
      </c>
      <c r="C21" t="s">
        <v>17</v>
      </c>
      <c r="G21" s="8">
        <v>65000</v>
      </c>
    </row>
    <row r="22" spans="1:8" x14ac:dyDescent="0.25">
      <c r="B22" s="3" t="s">
        <v>32</v>
      </c>
      <c r="D22" s="6" t="s">
        <v>34</v>
      </c>
      <c r="H22" s="10">
        <v>12809627.644479992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1:F28"/>
  <sheetViews>
    <sheetView workbookViewId="0">
      <selection activeCell="H15" sqref="H15"/>
    </sheetView>
  </sheetViews>
  <sheetFormatPr baseColWidth="10" defaultRowHeight="15.75" x14ac:dyDescent="0.25"/>
  <cols>
    <col min="3" max="3" width="28" bestFit="1" customWidth="1"/>
    <col min="4" max="4" width="21.42578125" customWidth="1"/>
    <col min="5" max="5" width="34" style="15" bestFit="1" customWidth="1"/>
    <col min="6" max="6" width="11.28515625" style="15" bestFit="1" customWidth="1"/>
  </cols>
  <sheetData>
    <row r="1" spans="3:5" x14ac:dyDescent="0.25">
      <c r="C1" s="13" t="s">
        <v>50</v>
      </c>
      <c r="D1" s="14"/>
      <c r="E1" s="15" t="s">
        <v>83</v>
      </c>
    </row>
    <row r="2" spans="3:5" x14ac:dyDescent="0.25">
      <c r="C2" s="13" t="s">
        <v>51</v>
      </c>
      <c r="D2" s="13"/>
      <c r="E2" s="15" t="s">
        <v>116</v>
      </c>
    </row>
    <row r="3" spans="3:5" x14ac:dyDescent="0.25">
      <c r="C3" s="13" t="s">
        <v>0</v>
      </c>
      <c r="D3" s="13"/>
      <c r="E3" s="15" t="s">
        <v>77</v>
      </c>
    </row>
    <row r="4" spans="3:5" x14ac:dyDescent="0.25">
      <c r="C4" s="13" t="s">
        <v>64</v>
      </c>
      <c r="D4" s="13"/>
      <c r="E4" s="15" t="s">
        <v>117</v>
      </c>
    </row>
    <row r="5" spans="3:5" x14ac:dyDescent="0.25">
      <c r="C5" s="13" t="s">
        <v>65</v>
      </c>
      <c r="D5" s="13"/>
    </row>
    <row r="6" spans="3:5" x14ac:dyDescent="0.25">
      <c r="C6" s="13" t="s">
        <v>66</v>
      </c>
      <c r="D6" s="13"/>
      <c r="E6" s="15" t="s">
        <v>59</v>
      </c>
    </row>
    <row r="7" spans="3:5" x14ac:dyDescent="0.25">
      <c r="C7" s="13"/>
      <c r="D7" s="13"/>
    </row>
    <row r="8" spans="3:5" x14ac:dyDescent="0.25">
      <c r="C8" s="13" t="s">
        <v>49</v>
      </c>
      <c r="D8" s="13"/>
      <c r="E8" s="15">
        <v>350100</v>
      </c>
    </row>
    <row r="9" spans="3:5" x14ac:dyDescent="0.25">
      <c r="C9" s="13" t="s">
        <v>9</v>
      </c>
      <c r="D9" s="13"/>
    </row>
    <row r="10" spans="3:5" x14ac:dyDescent="0.25">
      <c r="C10" s="13" t="s">
        <v>52</v>
      </c>
      <c r="D10" s="13"/>
      <c r="E10" s="15">
        <v>8</v>
      </c>
    </row>
    <row r="11" spans="3:5" x14ac:dyDescent="0.25">
      <c r="C11" s="13" t="s">
        <v>53</v>
      </c>
      <c r="D11" s="13"/>
      <c r="E11" s="15">
        <v>4</v>
      </c>
    </row>
    <row r="12" spans="3:5" x14ac:dyDescent="0.25">
      <c r="C12" s="13" t="s">
        <v>54</v>
      </c>
      <c r="D12" s="13"/>
    </row>
    <row r="13" spans="3:5" x14ac:dyDescent="0.25">
      <c r="C13" s="13" t="s">
        <v>55</v>
      </c>
      <c r="D13" s="13"/>
      <c r="E13" s="15">
        <v>3</v>
      </c>
    </row>
    <row r="14" spans="3:5" x14ac:dyDescent="0.25">
      <c r="C14" s="13" t="s">
        <v>56</v>
      </c>
      <c r="D14" s="13"/>
      <c r="E14" s="15">
        <v>15000</v>
      </c>
    </row>
    <row r="15" spans="3:5" x14ac:dyDescent="0.25">
      <c r="C15" s="13" t="s">
        <v>25</v>
      </c>
      <c r="D15" s="13"/>
      <c r="E15" s="15">
        <v>365300</v>
      </c>
    </row>
    <row r="16" spans="3:5" x14ac:dyDescent="0.25">
      <c r="C16" s="13" t="s">
        <v>57</v>
      </c>
      <c r="D16" s="13"/>
    </row>
    <row r="17" spans="3:6" x14ac:dyDescent="0.25">
      <c r="C17" s="13" t="s">
        <v>24</v>
      </c>
      <c r="D17" s="13"/>
      <c r="E17" s="15">
        <v>365300</v>
      </c>
    </row>
    <row r="18" spans="3:6" x14ac:dyDescent="0.25">
      <c r="C18" s="13"/>
      <c r="D18" s="13" t="s">
        <v>58</v>
      </c>
      <c r="F18" s="15">
        <v>20160</v>
      </c>
    </row>
    <row r="19" spans="3:6" x14ac:dyDescent="0.25">
      <c r="C19" s="13"/>
      <c r="D19" s="13" t="s">
        <v>59</v>
      </c>
      <c r="F19" s="16">
        <v>8000</v>
      </c>
    </row>
    <row r="20" spans="3:6" x14ac:dyDescent="0.25">
      <c r="C20" s="13"/>
      <c r="D20" s="13" t="s">
        <v>15</v>
      </c>
    </row>
    <row r="21" spans="3:6" x14ac:dyDescent="0.25">
      <c r="C21" s="13" t="s">
        <v>20</v>
      </c>
      <c r="D21" s="13" t="s">
        <v>19</v>
      </c>
      <c r="F21" s="15">
        <v>900</v>
      </c>
    </row>
    <row r="22" spans="3:6" x14ac:dyDescent="0.25">
      <c r="C22" s="13"/>
      <c r="D22" s="13" t="s">
        <v>60</v>
      </c>
      <c r="F22" s="16">
        <v>64000</v>
      </c>
    </row>
    <row r="23" spans="3:6" x14ac:dyDescent="0.25">
      <c r="C23" s="13"/>
      <c r="D23" s="13" t="s">
        <v>61</v>
      </c>
    </row>
    <row r="24" spans="3:6" x14ac:dyDescent="0.25">
      <c r="C24" s="13"/>
      <c r="D24" s="13" t="s">
        <v>23</v>
      </c>
      <c r="F24" s="16"/>
    </row>
    <row r="25" spans="3:6" x14ac:dyDescent="0.25">
      <c r="C25" s="13" t="s">
        <v>62</v>
      </c>
      <c r="D25" s="13"/>
      <c r="F25" s="15">
        <v>93060</v>
      </c>
    </row>
    <row r="26" spans="3:6" x14ac:dyDescent="0.25">
      <c r="C26" s="13" t="s">
        <v>21</v>
      </c>
      <c r="D26" s="13"/>
      <c r="E26" s="16">
        <v>273000</v>
      </c>
    </row>
    <row r="27" spans="3:6" x14ac:dyDescent="0.25">
      <c r="C27" s="13" t="s">
        <v>39</v>
      </c>
      <c r="D27" s="13"/>
      <c r="E27" s="15">
        <v>12500</v>
      </c>
    </row>
    <row r="28" spans="3:6" x14ac:dyDescent="0.25">
      <c r="C28" s="13" t="s">
        <v>63</v>
      </c>
      <c r="E28" s="15">
        <v>260500</v>
      </c>
    </row>
  </sheetData>
  <pageMargins left="0.70866141732283472" right="0.70866141732283472" top="0.74803149606299213" bottom="0.74803149606299213" header="0.31496062992125984" footer="0.31496062992125984"/>
  <pageSetup paperSize="9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Z53"/>
  <sheetViews>
    <sheetView workbookViewId="0"/>
  </sheetViews>
  <sheetFormatPr baseColWidth="10" defaultRowHeight="15" x14ac:dyDescent="0.25"/>
  <sheetData>
    <row r="1" spans="1:26" ht="15.75" x14ac:dyDescent="0.25">
      <c r="A1" s="22" t="s">
        <v>339</v>
      </c>
      <c r="B1" s="23"/>
      <c r="C1" s="23"/>
      <c r="D1" s="23"/>
      <c r="E1" s="23"/>
      <c r="H1" s="24" t="s">
        <v>342</v>
      </c>
      <c r="I1" s="25"/>
      <c r="J1" s="25"/>
      <c r="K1" s="25"/>
      <c r="O1" s="26" t="s">
        <v>346</v>
      </c>
      <c r="P1" s="27"/>
      <c r="Q1" s="27"/>
      <c r="W1" s="28" t="s">
        <v>348</v>
      </c>
      <c r="X1" s="29"/>
      <c r="Y1" s="29"/>
    </row>
    <row r="3" spans="1:26" ht="15.75" x14ac:dyDescent="0.25">
      <c r="A3" s="20" t="s">
        <v>4</v>
      </c>
      <c r="C3" t="s">
        <v>340</v>
      </c>
      <c r="D3">
        <f>COUNTIF(A4:A53,"=M")</f>
        <v>38</v>
      </c>
      <c r="H3" s="20" t="s">
        <v>5</v>
      </c>
      <c r="J3" t="s">
        <v>343</v>
      </c>
      <c r="K3">
        <f>COUNTIF(H4:H53,"=A")</f>
        <v>11</v>
      </c>
      <c r="O3" s="20" t="s">
        <v>6</v>
      </c>
      <c r="Q3" t="s">
        <v>75</v>
      </c>
      <c r="R3">
        <f>COUNTIF(O4:O53,"=Marié")</f>
        <v>30</v>
      </c>
      <c r="W3" s="1" t="s">
        <v>25</v>
      </c>
    </row>
    <row r="4" spans="1:26" x14ac:dyDescent="0.25">
      <c r="A4" s="17" t="s">
        <v>73</v>
      </c>
      <c r="C4" t="s">
        <v>341</v>
      </c>
      <c r="D4">
        <f>COUNTIF(A4:A53,"=F")</f>
        <v>12</v>
      </c>
      <c r="H4" s="17" t="s">
        <v>74</v>
      </c>
      <c r="J4" t="s">
        <v>344</v>
      </c>
      <c r="K4">
        <f>COUNTIF(H4:H53,"=B")</f>
        <v>22</v>
      </c>
      <c r="O4" s="17" t="s">
        <v>75</v>
      </c>
      <c r="Q4" t="s">
        <v>347</v>
      </c>
      <c r="R4">
        <f>COUNTIF(O4:O53,"=Celibataire")</f>
        <v>20</v>
      </c>
      <c r="W4" s="1">
        <v>350126.60000000003</v>
      </c>
      <c r="Y4" t="s">
        <v>349</v>
      </c>
      <c r="Z4">
        <f>COUNTIF(W4:W53,"&lt;360000")</f>
        <v>29</v>
      </c>
    </row>
    <row r="5" spans="1:26" x14ac:dyDescent="0.25">
      <c r="A5" s="17" t="s">
        <v>73</v>
      </c>
      <c r="H5" s="17" t="s">
        <v>74</v>
      </c>
      <c r="J5" t="s">
        <v>345</v>
      </c>
      <c r="K5">
        <f>COUNTIF(H4:H53,"=C")</f>
        <v>17</v>
      </c>
      <c r="O5" s="17" t="s">
        <v>82</v>
      </c>
      <c r="W5" s="1">
        <v>378862.60000000003</v>
      </c>
      <c r="Y5" t="s">
        <v>350</v>
      </c>
      <c r="Z5">
        <f>COUNTIF(W4:W53,"&gt;360000")</f>
        <v>21</v>
      </c>
    </row>
    <row r="6" spans="1:26" x14ac:dyDescent="0.25">
      <c r="A6" s="17" t="s">
        <v>73</v>
      </c>
      <c r="H6" s="17" t="s">
        <v>74</v>
      </c>
      <c r="O6" s="17" t="s">
        <v>75</v>
      </c>
      <c r="W6" s="1">
        <v>369518.60000000003</v>
      </c>
    </row>
    <row r="7" spans="1:26" x14ac:dyDescent="0.25">
      <c r="A7" s="17" t="s">
        <v>73</v>
      </c>
      <c r="H7" s="17" t="s">
        <v>95</v>
      </c>
      <c r="O7" s="17" t="s">
        <v>75</v>
      </c>
      <c r="W7" s="1">
        <v>259480.05000000002</v>
      </c>
    </row>
    <row r="8" spans="1:26" x14ac:dyDescent="0.25">
      <c r="A8" s="17" t="s">
        <v>73</v>
      </c>
      <c r="H8" s="17" t="s">
        <v>95</v>
      </c>
      <c r="O8" s="17" t="s">
        <v>82</v>
      </c>
      <c r="W8" s="1">
        <v>258344.05000000002</v>
      </c>
    </row>
    <row r="9" spans="1:26" x14ac:dyDescent="0.25">
      <c r="A9" s="17" t="s">
        <v>73</v>
      </c>
      <c r="H9" s="17" t="s">
        <v>95</v>
      </c>
      <c r="O9" s="17" t="s">
        <v>82</v>
      </c>
      <c r="W9" s="1">
        <v>240062.05000000002</v>
      </c>
    </row>
    <row r="10" spans="1:26" x14ac:dyDescent="0.25">
      <c r="A10" s="17" t="s">
        <v>109</v>
      </c>
      <c r="H10" s="17" t="s">
        <v>110</v>
      </c>
      <c r="O10" s="17" t="s">
        <v>75</v>
      </c>
      <c r="W10" s="1">
        <v>479897.63000000006</v>
      </c>
    </row>
    <row r="11" spans="1:26" x14ac:dyDescent="0.25">
      <c r="A11" s="17" t="s">
        <v>109</v>
      </c>
      <c r="H11" s="17" t="s">
        <v>110</v>
      </c>
      <c r="O11" s="17" t="s">
        <v>82</v>
      </c>
      <c r="W11" s="1">
        <v>469897.63000000006</v>
      </c>
    </row>
    <row r="12" spans="1:26" x14ac:dyDescent="0.25">
      <c r="A12" s="17" t="s">
        <v>73</v>
      </c>
      <c r="H12" s="17" t="s">
        <v>110</v>
      </c>
      <c r="O12" s="17" t="s">
        <v>75</v>
      </c>
      <c r="W12" s="1">
        <v>469897.63000000006</v>
      </c>
    </row>
    <row r="13" spans="1:26" x14ac:dyDescent="0.25">
      <c r="A13" s="17" t="s">
        <v>73</v>
      </c>
      <c r="H13" s="17" t="s">
        <v>110</v>
      </c>
      <c r="O13" s="17" t="s">
        <v>82</v>
      </c>
      <c r="W13" s="1">
        <v>469897.63000000006</v>
      </c>
    </row>
    <row r="14" spans="1:26" x14ac:dyDescent="0.25">
      <c r="A14" s="17" t="s">
        <v>109</v>
      </c>
      <c r="H14" s="17" t="s">
        <v>74</v>
      </c>
      <c r="O14" s="17" t="s">
        <v>82</v>
      </c>
      <c r="W14" s="1">
        <v>362246.60000000003</v>
      </c>
    </row>
    <row r="15" spans="1:26" x14ac:dyDescent="0.25">
      <c r="A15" s="17" t="s">
        <v>73</v>
      </c>
      <c r="H15" s="17" t="s">
        <v>74</v>
      </c>
      <c r="O15" s="17" t="s">
        <v>82</v>
      </c>
      <c r="W15" s="1">
        <v>356590.60000000003</v>
      </c>
    </row>
    <row r="16" spans="1:26" x14ac:dyDescent="0.25">
      <c r="A16" s="17" t="s">
        <v>109</v>
      </c>
      <c r="H16" s="17" t="s">
        <v>74</v>
      </c>
      <c r="O16" s="17" t="s">
        <v>82</v>
      </c>
      <c r="W16" s="1">
        <v>376386.60000000003</v>
      </c>
    </row>
    <row r="17" spans="1:23" x14ac:dyDescent="0.25">
      <c r="A17" s="17" t="s">
        <v>73</v>
      </c>
      <c r="H17" s="17" t="s">
        <v>95</v>
      </c>
      <c r="O17" s="17" t="s">
        <v>82</v>
      </c>
      <c r="W17" s="1">
        <v>240062.05000000002</v>
      </c>
    </row>
    <row r="18" spans="1:23" x14ac:dyDescent="0.25">
      <c r="A18" s="17" t="s">
        <v>73</v>
      </c>
      <c r="H18" s="17" t="s">
        <v>95</v>
      </c>
      <c r="O18" s="17" t="s">
        <v>82</v>
      </c>
      <c r="W18" s="1">
        <v>260837.05000000002</v>
      </c>
    </row>
    <row r="19" spans="1:23" x14ac:dyDescent="0.25">
      <c r="A19" s="17" t="s">
        <v>73</v>
      </c>
      <c r="H19" s="17" t="s">
        <v>95</v>
      </c>
      <c r="O19" s="17" t="s">
        <v>75</v>
      </c>
      <c r="W19" s="1">
        <v>251724.05000000002</v>
      </c>
    </row>
    <row r="20" spans="1:23" x14ac:dyDescent="0.25">
      <c r="A20" s="17" t="s">
        <v>73</v>
      </c>
      <c r="H20" s="17" t="s">
        <v>95</v>
      </c>
      <c r="O20" s="17" t="s">
        <v>75</v>
      </c>
      <c r="W20" s="1">
        <v>255020.05000000002</v>
      </c>
    </row>
    <row r="21" spans="1:23" x14ac:dyDescent="0.25">
      <c r="A21" s="17" t="s">
        <v>73</v>
      </c>
      <c r="H21" s="17" t="s">
        <v>110</v>
      </c>
      <c r="O21" s="17" t="s">
        <v>75</v>
      </c>
      <c r="W21" s="1">
        <v>479897.63000000006</v>
      </c>
    </row>
    <row r="22" spans="1:23" x14ac:dyDescent="0.25">
      <c r="A22" s="17" t="s">
        <v>73</v>
      </c>
      <c r="H22" s="17" t="s">
        <v>95</v>
      </c>
      <c r="O22" s="17" t="s">
        <v>75</v>
      </c>
      <c r="W22" s="1">
        <v>240062.05000000002</v>
      </c>
    </row>
    <row r="23" spans="1:23" x14ac:dyDescent="0.25">
      <c r="A23" s="17" t="s">
        <v>73</v>
      </c>
      <c r="H23" s="17" t="s">
        <v>74</v>
      </c>
      <c r="O23" s="17" t="s">
        <v>75</v>
      </c>
      <c r="W23" s="1">
        <v>361034.60000000003</v>
      </c>
    </row>
    <row r="24" spans="1:23" x14ac:dyDescent="0.25">
      <c r="A24" s="17" t="s">
        <v>73</v>
      </c>
      <c r="H24" s="17" t="s">
        <v>74</v>
      </c>
      <c r="O24" s="17" t="s">
        <v>75</v>
      </c>
      <c r="W24" s="1">
        <v>376790.60000000003</v>
      </c>
    </row>
    <row r="25" spans="1:23" x14ac:dyDescent="0.25">
      <c r="A25" s="17" t="s">
        <v>109</v>
      </c>
      <c r="H25" s="17" t="s">
        <v>74</v>
      </c>
      <c r="O25" s="17" t="s">
        <v>75</v>
      </c>
      <c r="W25" s="1">
        <v>360126.60000000003</v>
      </c>
    </row>
    <row r="26" spans="1:23" x14ac:dyDescent="0.25">
      <c r="A26" s="17" t="s">
        <v>73</v>
      </c>
      <c r="H26" s="17" t="s">
        <v>95</v>
      </c>
      <c r="O26" s="17" t="s">
        <v>75</v>
      </c>
      <c r="W26" s="1">
        <v>246710.05000000002</v>
      </c>
    </row>
    <row r="27" spans="1:23" x14ac:dyDescent="0.25">
      <c r="A27" s="17" t="s">
        <v>73</v>
      </c>
      <c r="H27" s="17" t="s">
        <v>95</v>
      </c>
      <c r="O27" s="17" t="s">
        <v>75</v>
      </c>
      <c r="W27" s="1">
        <v>265851.05000000005</v>
      </c>
    </row>
    <row r="28" spans="1:23" x14ac:dyDescent="0.25">
      <c r="A28" s="17" t="s">
        <v>109</v>
      </c>
      <c r="H28" s="17" t="s">
        <v>95</v>
      </c>
      <c r="O28" s="17" t="s">
        <v>82</v>
      </c>
      <c r="W28" s="1">
        <v>247818.05000000002</v>
      </c>
    </row>
    <row r="29" spans="1:23" x14ac:dyDescent="0.25">
      <c r="A29" s="17" t="s">
        <v>73</v>
      </c>
      <c r="H29" s="17" t="s">
        <v>95</v>
      </c>
      <c r="O29" s="17" t="s">
        <v>82</v>
      </c>
      <c r="W29" s="1">
        <v>260560.05000000002</v>
      </c>
    </row>
    <row r="30" spans="1:23" x14ac:dyDescent="0.25">
      <c r="A30" s="17" t="s">
        <v>73</v>
      </c>
      <c r="H30" s="17" t="s">
        <v>110</v>
      </c>
      <c r="O30" s="17" t="s">
        <v>82</v>
      </c>
      <c r="W30" s="1">
        <v>469897.63000000006</v>
      </c>
    </row>
    <row r="31" spans="1:23" x14ac:dyDescent="0.25">
      <c r="A31" s="17" t="s">
        <v>73</v>
      </c>
      <c r="H31" s="17" t="s">
        <v>74</v>
      </c>
      <c r="O31" s="17" t="s">
        <v>82</v>
      </c>
      <c r="W31" s="1">
        <v>358206.60000000003</v>
      </c>
    </row>
    <row r="32" spans="1:23" x14ac:dyDescent="0.25">
      <c r="A32" s="17" t="s">
        <v>109</v>
      </c>
      <c r="H32" s="17" t="s">
        <v>110</v>
      </c>
      <c r="O32" s="17" t="s">
        <v>75</v>
      </c>
      <c r="W32" s="1">
        <v>479897.63000000006</v>
      </c>
    </row>
    <row r="33" spans="1:23" x14ac:dyDescent="0.25">
      <c r="A33" s="17" t="s">
        <v>73</v>
      </c>
      <c r="H33" s="17" t="s">
        <v>110</v>
      </c>
      <c r="O33" s="17" t="s">
        <v>75</v>
      </c>
      <c r="W33" s="1">
        <v>477897.63000000006</v>
      </c>
    </row>
    <row r="34" spans="1:23" x14ac:dyDescent="0.25">
      <c r="A34" s="17" t="s">
        <v>73</v>
      </c>
      <c r="H34" s="17" t="s">
        <v>110</v>
      </c>
      <c r="O34" s="17" t="s">
        <v>75</v>
      </c>
      <c r="W34" s="1">
        <v>469897.63000000006</v>
      </c>
    </row>
    <row r="35" spans="1:23" x14ac:dyDescent="0.25">
      <c r="A35" s="17" t="s">
        <v>73</v>
      </c>
      <c r="H35" s="17" t="s">
        <v>74</v>
      </c>
      <c r="O35" s="17" t="s">
        <v>75</v>
      </c>
      <c r="W35" s="1">
        <v>352550.60000000003</v>
      </c>
    </row>
    <row r="36" spans="1:23" x14ac:dyDescent="0.25">
      <c r="A36" s="17" t="s">
        <v>73</v>
      </c>
      <c r="H36" s="17" t="s">
        <v>74</v>
      </c>
      <c r="O36" s="17" t="s">
        <v>75</v>
      </c>
      <c r="W36" s="1">
        <v>350126.60000000003</v>
      </c>
    </row>
    <row r="37" spans="1:23" x14ac:dyDescent="0.25">
      <c r="A37" s="17" t="s">
        <v>109</v>
      </c>
      <c r="H37" s="17" t="s">
        <v>74</v>
      </c>
      <c r="O37" s="17" t="s">
        <v>75</v>
      </c>
      <c r="W37" s="1">
        <v>352550.60000000003</v>
      </c>
    </row>
    <row r="38" spans="1:23" x14ac:dyDescent="0.25">
      <c r="A38" s="17" t="s">
        <v>73</v>
      </c>
      <c r="H38" s="17" t="s">
        <v>74</v>
      </c>
      <c r="O38" s="17" t="s">
        <v>75</v>
      </c>
      <c r="W38" s="1">
        <v>350126.60000000003</v>
      </c>
    </row>
    <row r="39" spans="1:23" x14ac:dyDescent="0.25">
      <c r="A39" s="17" t="s">
        <v>73</v>
      </c>
      <c r="H39" s="17" t="s">
        <v>74</v>
      </c>
      <c r="O39" s="17" t="s">
        <v>75</v>
      </c>
      <c r="W39" s="1">
        <v>350126.60000000003</v>
      </c>
    </row>
    <row r="40" spans="1:23" x14ac:dyDescent="0.25">
      <c r="A40" s="17" t="s">
        <v>73</v>
      </c>
      <c r="H40" s="17" t="s">
        <v>95</v>
      </c>
      <c r="O40" s="17" t="s">
        <v>82</v>
      </c>
      <c r="W40" s="1">
        <v>240062.05000000002</v>
      </c>
    </row>
    <row r="41" spans="1:23" x14ac:dyDescent="0.25">
      <c r="A41" s="17" t="s">
        <v>73</v>
      </c>
      <c r="H41" s="17" t="s">
        <v>110</v>
      </c>
      <c r="O41" s="17" t="s">
        <v>82</v>
      </c>
      <c r="W41" s="1">
        <v>469897.63000000006</v>
      </c>
    </row>
    <row r="42" spans="1:23" x14ac:dyDescent="0.25">
      <c r="A42" s="17" t="s">
        <v>109</v>
      </c>
      <c r="H42" s="17" t="s">
        <v>95</v>
      </c>
      <c r="O42" s="17" t="s">
        <v>82</v>
      </c>
      <c r="W42" s="1">
        <v>240062.05000000002</v>
      </c>
    </row>
    <row r="43" spans="1:23" x14ac:dyDescent="0.25">
      <c r="A43" s="17" t="s">
        <v>109</v>
      </c>
      <c r="H43" s="17" t="s">
        <v>95</v>
      </c>
      <c r="O43" s="17" t="s">
        <v>82</v>
      </c>
      <c r="W43" s="1">
        <v>251419.05000000002</v>
      </c>
    </row>
    <row r="44" spans="1:23" x14ac:dyDescent="0.25">
      <c r="A44" s="17" t="s">
        <v>73</v>
      </c>
      <c r="H44" s="17" t="s">
        <v>110</v>
      </c>
      <c r="O44" s="17" t="s">
        <v>82</v>
      </c>
      <c r="W44" s="1">
        <v>469897.63000000006</v>
      </c>
    </row>
    <row r="45" spans="1:23" x14ac:dyDescent="0.25">
      <c r="A45" s="17" t="s">
        <v>73</v>
      </c>
      <c r="H45" s="17" t="s">
        <v>95</v>
      </c>
      <c r="O45" s="17" t="s">
        <v>75</v>
      </c>
      <c r="W45" s="1">
        <v>240062.05000000002</v>
      </c>
    </row>
    <row r="46" spans="1:23" x14ac:dyDescent="0.25">
      <c r="A46" s="17" t="s">
        <v>73</v>
      </c>
      <c r="H46" s="17" t="s">
        <v>95</v>
      </c>
      <c r="O46" s="17" t="s">
        <v>75</v>
      </c>
      <c r="W46" s="1">
        <v>251419.05000000002</v>
      </c>
    </row>
    <row r="47" spans="1:23" x14ac:dyDescent="0.25">
      <c r="A47" s="17" t="s">
        <v>73</v>
      </c>
      <c r="H47" s="17" t="s">
        <v>74</v>
      </c>
      <c r="O47" s="17" t="s">
        <v>75</v>
      </c>
      <c r="W47" s="1">
        <v>358626.60000000003</v>
      </c>
    </row>
    <row r="48" spans="1:23" x14ac:dyDescent="0.25">
      <c r="A48" s="17" t="s">
        <v>109</v>
      </c>
      <c r="H48" s="17" t="s">
        <v>74</v>
      </c>
      <c r="O48" s="17" t="s">
        <v>75</v>
      </c>
      <c r="W48" s="1">
        <v>350126.60000000003</v>
      </c>
    </row>
    <row r="49" spans="1:23" x14ac:dyDescent="0.25">
      <c r="A49" s="17" t="s">
        <v>73</v>
      </c>
      <c r="H49" s="17" t="s">
        <v>74</v>
      </c>
      <c r="O49" s="17" t="s">
        <v>75</v>
      </c>
      <c r="W49" s="1">
        <v>366690.60000000003</v>
      </c>
    </row>
    <row r="50" spans="1:23" x14ac:dyDescent="0.25">
      <c r="A50" s="17" t="s">
        <v>73</v>
      </c>
      <c r="H50" s="17" t="s">
        <v>74</v>
      </c>
      <c r="O50" s="17" t="s">
        <v>75</v>
      </c>
      <c r="W50" s="1">
        <v>366690.60000000003</v>
      </c>
    </row>
    <row r="51" spans="1:23" x14ac:dyDescent="0.25">
      <c r="A51" s="17" t="s">
        <v>109</v>
      </c>
      <c r="H51" s="17" t="s">
        <v>74</v>
      </c>
      <c r="O51" s="17" t="s">
        <v>75</v>
      </c>
      <c r="W51" s="1">
        <v>355126.60000000003</v>
      </c>
    </row>
    <row r="52" spans="1:23" x14ac:dyDescent="0.25">
      <c r="A52" s="17" t="s">
        <v>73</v>
      </c>
      <c r="H52" s="17" t="s">
        <v>74</v>
      </c>
      <c r="O52" s="17" t="s">
        <v>75</v>
      </c>
      <c r="W52" s="1">
        <v>352550.60000000003</v>
      </c>
    </row>
    <row r="53" spans="1:23" x14ac:dyDescent="0.25">
      <c r="A53" s="17" t="s">
        <v>73</v>
      </c>
      <c r="H53" s="17" t="s">
        <v>74</v>
      </c>
      <c r="O53" s="17" t="s">
        <v>82</v>
      </c>
      <c r="W53">
        <v>374902.60000000003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Interface</vt:lpstr>
      <vt:lpstr>Donnees_Salaire</vt:lpstr>
      <vt:lpstr>Livre_de_Paie</vt:lpstr>
      <vt:lpstr>Ecritures_Comptables</vt:lpstr>
      <vt:lpstr>Bulletin_de_Salaire</vt:lpstr>
      <vt:lpstr>Tableau de bord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Ablaye Ba</dc:creator>
  <cp:lastModifiedBy>Ablaye Ba</cp:lastModifiedBy>
  <cp:lastPrinted>2020-05-29T17:36:52Z</cp:lastPrinted>
  <dcterms:created xsi:type="dcterms:W3CDTF">2020-05-10T16:39:33Z</dcterms:created>
  <dcterms:modified xsi:type="dcterms:W3CDTF">2020-05-31T15:12:28Z</dcterms:modified>
</cp:coreProperties>
</file>